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fdd84cecd48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 Summary" sheetId="1" r:id="R312a59676c0c4b20"/>
    <x:sheet xmlns:r="http://schemas.openxmlformats.org/officeDocument/2006/relationships" name="Menu Details" sheetId="2" r:id="R839f4870c5014605"/>
    <x:sheet xmlns:r="http://schemas.openxmlformats.org/officeDocument/2006/relationships" name="Source Data" sheetId="3" r:id="R98c943dd7dfc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&quot;$&quot;#,##0.00;[Red]-&quot;$&quot;#,##0.00"/>
    <x:numFmt numFmtId="202" formatCode="0%"/>
    <x:numFmt numFmtId="203" formatCode="#,##0"/>
  </x:numFmts>
  <x:fonts count="7">
    <x:font>
      <x:sz val="11"/>
      <x:name val="Carlito"/>
    </x:font>
    <x:font>
      <x:b/>
      <x:sz val="15"/>
      <x:color rgb="FFFFFFFF"/>
      <x:name val="Aptos Display"/>
    </x:font>
    <x:font>
      <x:i/>
      <x:sz val="10"/>
      <x:color rgb="FF4E6677"/>
      <x:name val="Aptos"/>
    </x:font>
    <x:font>
      <x:b/>
      <x:sz val="10"/>
      <x:color rgb="FFFFFFFF"/>
      <x:name val="Aptos"/>
    </x:font>
    <x:font>
      <x:sz val="10"/>
      <x:color rgb="FF17324D"/>
      <x:name val="Aptos"/>
    </x:font>
    <x:font>
      <x:b/>
      <x:sz val="11"/>
      <x:color rgb="FFFFFFFF"/>
      <x:name val="Carlito"/>
    </x:font>
    <x:font>
      <x:b/>
      <x:sz val="10"/>
      <x:color rgb="FF17365D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5"/>
      </x:patternFill>
    </x:fill>
    <x:fill>
      <x:patternFill patternType="solid">
        <x:fgColor rgb="FF00A6A6"/>
      </x:patternFill>
    </x:fill>
    <x:fill>
      <x:patternFill patternType="solid">
        <x:fgColor rgb="FFC9EAF4"/>
      </x:patternFill>
    </x:fill>
    <x:fill>
      <x:patternFill patternType="solid">
        <x:fgColor rgb="FFDDEBF7"/>
      </x:patternFill>
    </x:fill>
  </x:fills>
  <x:borders count="11">
    <x:border/>
    <x:border>
      <x:left style="thin">
        <x:color rgb="FF00A6A6"/>
      </x:left>
      <x:top style="thin">
        <x:color rgb="FF00A6A6"/>
      </x:top>
      <x:bottom style="thin">
        <x:color rgb="FF00A6A6"/>
      </x:bottom>
    </x:border>
    <x:border>
      <x:top style="thin">
        <x:color rgb="FF00A6A6"/>
      </x:top>
      <x:bottom style="thin">
        <x:color rgb="FF00A6A6"/>
      </x:bottom>
    </x:border>
    <x:border>
      <x:right style="thin">
        <x:color rgb="FF00A6A6"/>
      </x:right>
      <x:top style="thin">
        <x:color rgb="FF00A6A6"/>
      </x:top>
      <x:bottom style="thin">
        <x:color rgb="FF00A6A6"/>
      </x:bottom>
    </x:border>
    <x:border>
      <x:right style="thin">
        <x:color rgb="FFD6E1E7"/>
      </x:right>
      <x:bottom style="thin">
        <x:color rgb="FFD6E1E7"/>
      </x:bottom>
    </x:border>
    <x:border>
      <x:left style="thin">
        <x:color rgb="FFD6E1E7"/>
      </x:left>
      <x:right style="thin">
        <x:color rgb="FFD6E1E7"/>
      </x:right>
      <x:bottom style="thin">
        <x:color rgb="FFD6E1E7"/>
      </x:bottom>
    </x:border>
    <x:border>
      <x:left style="thin">
        <x:color rgb="FFD6E1E7"/>
      </x:left>
      <x:bottom style="thin">
        <x:color rgb="FFD6E1E7"/>
      </x:bottom>
    </x:border>
    <x:border>
      <x:right style="thin">
        <x:color rgb="FFD6E1E7"/>
      </x:right>
      <x:top style="thin">
        <x:color rgb="FFD6E1E7"/>
      </x:top>
      <x:bottom style="thin">
        <x:color rgb="FFD6E1E7"/>
      </x:bottom>
    </x:border>
    <x:border>
      <x:left style="thin">
        <x:color rgb="FFD6E1E7"/>
      </x:left>
      <x:right style="thin">
        <x:color rgb="FFD6E1E7"/>
      </x:right>
      <x:top style="thin">
        <x:color rgb="FFD6E1E7"/>
      </x:top>
      <x:bottom style="thin">
        <x:color rgb="FFD6E1E7"/>
      </x:bottom>
    </x:border>
    <x:border>
      <x:left style="thin">
        <x:color rgb="FFD6E1E7"/>
      </x:left>
      <x:top style="thin">
        <x:color rgb="FFD6E1E7"/>
      </x:top>
      <x:bottom style="thin">
        <x:color rgb="FFD6E1E7"/>
      </x:bottom>
    </x:border>
    <x:border>
      <x:left style="thin">
        <x:color rgb="FFD6E1E7"/>
      </x:left>
      <x:right style="thin">
        <x:color rgb="FFD6E1E7"/>
      </x:right>
      <x:top style="thin">
        <x:color rgb="FFD6E1E7"/>
      </x:top>
      <x:bottom style="double">
        <x:color rgb="FF17365D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200" fontId="4" fillId="5" borderId="7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1" fontId="4" fillId="5" borderId="8" xfId="0" applyNumberFormat="1" applyFont="1" applyFill="1" applyBorder="1" applyAlignment="1">
      <x:alignment vertical="center"/>
    </x:xf>
    <x:xf numFmtId="202" fontId="4" fillId="5" borderId="5" xfId="0" applyNumberFormat="1" applyFont="1" applyFill="1" applyBorder="1" applyAlignment="1">
      <x:alignment vertical="center"/>
    </x:xf>
    <x:xf numFmtId="202" fontId="4" fillId="5" borderId="8" xfId="0" applyNumberFormat="1" applyFont="1" applyFill="1" applyBorder="1" applyAlignment="1">
      <x:alignment vertical="center"/>
    </x:xf>
    <x:xf numFmtId="201" fontId="4" fillId="5" borderId="6" xfId="0" applyNumberFormat="1" applyFont="1" applyFill="1" applyBorder="1" applyAlignment="1">
      <x:alignment vertical="center"/>
    </x:xf>
    <x:xf numFmtId="201" fontId="4" fillId="5" borderId="9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203" fontId="4" fillId="5" borderId="6" xfId="0" applyNumberFormat="1" applyFont="1" applyFill="1" applyBorder="1" applyAlignment="1">
      <x:alignment vertical="center"/>
    </x:xf>
    <x:xf numFmtId="203" fontId="4" fillId="5" borderId="9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horizontal="right" vertical="center"/>
    </x:xf>
    <x:xf numFmtId="201" fontId="4" fillId="5" borderId="5" xfId="0" applyNumberFormat="1" applyFont="1" applyFill="1" applyBorder="1" applyAlignment="1">
      <x:alignment horizontal="right" vertical="center"/>
    </x:xf>
    <x:xf numFmtId="0" fontId="4" fillId="5" borderId="6" xfId="0" applyNumberFormat="1" applyFont="1" applyFill="1" applyBorder="1" applyAlignment="1">
      <x:alignment horizontal="right" vertical="center"/>
    </x:xf>
    <x:xf numFmtId="0" fontId="4" fillId="5" borderId="8" xfId="0" applyNumberFormat="1" applyFont="1" applyFill="1" applyBorder="1" applyAlignment="1">
      <x:alignment horizontal="right" vertical="center"/>
    </x:xf>
    <x:xf numFmtId="201" fontId="4" fillId="5" borderId="8" xfId="0" applyNumberFormat="1" applyFont="1" applyFill="1" applyBorder="1" applyAlignment="1">
      <x:alignment horizontal="right" vertical="center"/>
    </x:xf>
    <x:xf numFmtId="0" fontId="4" fillId="5" borderId="9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6" borderId="8" xfId="0" applyNumberFormat="1" applyFont="1" applyFill="1" applyBorder="1"/>
    <x:xf numFmtId="0" fontId="6" fillId="6" borderId="8" xfId="0" applyNumberFormat="1" applyFont="1" applyFill="1" applyBorder="1"/>
    <x:xf numFmtId="0" fontId="6" fillId="6" borderId="10" xfId="0" applyNumberFormat="1" applyFont="1" applyFill="1" applyBorder="1"/>
    <x:xf numFmtId="203" fontId="4" fillId="0" borderId="8" xfId="0" applyNumberFormat="1" applyFont="1" applyFill="1" applyBorder="1"/>
    <x:xf numFmtId="203" fontId="6" fillId="6" borderId="1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FFFFF"/>
        </x:patternFill>
      </x:fill>
    </x:dxf>
    <x:dxf>
      <x:fill>
        <x:patternFill patternType="solid">
          <x:bgColor rgb="FFFFFFFF"/>
        </x:patternFill>
      </x:fill>
    </x:dxf>
    <x:dxf>
      <x:fill>
        <x:patternFill patternType="solid"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fd4d24eff46c8" /><Relationship Type="http://schemas.openxmlformats.org/officeDocument/2006/relationships/theme" Target="/xl/theme/theme1.xml" Id="Rab6b4f349f734e86" /><Relationship Type="http://schemas.openxmlformats.org/officeDocument/2006/relationships/sharedStrings" Target="/xl/sharedStrings.xml" Id="Rb9f2a03ccb0d4016" /><Relationship Type="http://schemas.openxmlformats.org/officeDocument/2006/relationships/worksheet" Target="/xl/worksheets/sheet1.xml" Id="R312a59676c0c4b20" /><Relationship Type="http://schemas.openxmlformats.org/officeDocument/2006/relationships/worksheet" Target="/xl/worksheets/sheet2.xml" Id="R839f4870c5014605" /><Relationship Type="http://schemas.openxmlformats.org/officeDocument/2006/relationships/worksheet" Target="/xl/worksheets/sheet3.xml" Id="R98c943dd7dfc4744" /></Relationships>
</file>

<file path=xl/tables/table1.xml><?xml version="1.0" encoding="utf-8"?>
<x:table xmlns:x="http://schemas.openxmlformats.org/spreadsheetml/2006/main" id="1" name="ClubFeastOrderSummary" displayName="ClubFeastOrderSummary" ref="A4:I40" headerRowCount="1" totalsRowCount="0" totalsRowShown="0">
  <x:tableColumns count="9">
    <x:tableColumn id="1" name="Date"/>
    <x:tableColumn id="2" name="Branch"/>
    <x:tableColumn id="3" name="Order ID"/>
    <x:tableColumn id="4" name="Gross Sales (Subtotal)"/>
    <x:tableColumn id="5" name="Cost Adjustment"/>
    <x:tableColumn id="6" name="Cost Adjustment Reason"/>
    <x:tableColumn id="7" name="Applicable Discount"/>
    <x:tableColumn id="8" name="Tax Amount"/>
    <x:tableColumn id="9" name="Order 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ubFeastMenuDetails" displayName="ClubFeastMenuDetails" ref="A4:F278" headerRowCount="1" totalsRowCount="0" totalsRowShown="0">
  <x:tableColumns count="6">
    <x:tableColumn id="1" name="Date"/>
    <x:tableColumn id="2" name="Branch"/>
    <x:tableColumn id="3" name="Order ID"/>
    <x:tableColumn id="4" name="Menu"/>
    <x:tableColumn id="5" name="Menu Pricing"/>
    <x:tableColumn id="6" name="No. of Orders for Each Menu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ubFeastSourceData" displayName="ClubFeastSourceData" ref="A4:D278" headerRowCount="1" totalsRowCount="0" totalsRowShown="0">
  <x:tableColumns count="4">
    <x:tableColumn id="1" name="Order ID"/>
    <x:tableColumn id="2" name="Menu Line"/>
    <x:tableColumn id="3" name="Source Line Total"/>
    <x:tableColumn id="4" name="Source Quant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e5a27b0b8e46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381148c84644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f088dfcf4f4f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3" hidden="0" customWidth="1"/>
    <x:col min="4" max="4" width="20" hidden="0" customWidth="1"/>
    <x:col min="5" max="5" width="18" hidden="0" customWidth="1"/>
    <x:col min="6" max="6" width="34" hidden="0" customWidth="1"/>
    <x:col min="7" max="7" width="19" hidden="0" customWidth="1"/>
    <x:col min="8" max="8" width="16" hidden="0" customWidth="1"/>
    <x:col min="9" max="9" width="16" hidden="0" customWidth="1"/>
  </x:cols>
  <x:sheetData>
    <x:row r="1" ht="30" customHeight="1">
      <x:c r="A1" s="3" t="str">
        <x:v>ClubFeast — Order Summary</x:v>
      </x:c>
      <x:c r="B1" s="3"/>
      <x:c r="C1" s="3"/>
      <x:c r="D1" s="3"/>
      <x:c r="E1" s="3"/>
      <x:c r="F1" s="3"/>
      <x:c r="G1" s="3"/>
      <x:c r="H1" s="3"/>
      <x:c r="I1" s="3"/>
    </x:row>
    <x:row r="2" ht="38" customHeight="1">
      <x:c r="A2" s="7" t="str">
        <x:v>Enter one row per order. Gross Sales means portal Subtotal. Keep Cost Adjustment signed (negative values reduce revenue). Verified August scope: 36 orders (31 Tennessee, 5 Geary, 0 Palo Alto).</x:v>
      </x:c>
      <x:c r="B2" s="7"/>
      <x:c r="C2" s="7"/>
      <x:c r="D2" s="7"/>
      <x:c r="E2" s="7"/>
      <x:c r="F2" s="7"/>
      <x:c r="G2" s="7"/>
      <x:c r="H2" s="7"/>
      <x:c r="I2" s="7"/>
    </x:row>
    <x:row r="3" ht="10" customHeight="1"/>
    <x:row r="4" ht="34" customHeight="1">
      <x:c r="A4" s="16" t="str">
        <x:v>Date</x:v>
      </x:c>
      <x:c r="B4" s="17" t="str">
        <x:v>Branch</x:v>
      </x:c>
      <x:c r="C4" s="17" t="str">
        <x:v>Order ID</x:v>
      </x:c>
      <x:c r="D4" s="17" t="str">
        <x:v>Gross Sales (Subtotal)</x:v>
      </x:c>
      <x:c r="E4" s="17" t="str">
        <x:v>Cost Adjustment</x:v>
      </x:c>
      <x:c r="F4" s="17" t="str">
        <x:v>Cost Adjustment Reason</x:v>
      </x:c>
      <x:c r="G4" s="17" t="str">
        <x:v>Applicable Discount</x:v>
      </x:c>
      <x:c r="H4" s="17" t="str">
        <x:v>Tax Amount</x:v>
      </x:c>
      <x:c r="I4" s="18" t="str">
        <x:v>Order Total</x:v>
      </x:c>
    </x:row>
    <x:row r="5">
      <x:c r="A5" s="33" t="n">
        <x:v>46237.5</x:v>
      </x:c>
      <x:c r="B5" s="28" t="str">
        <x:v>Tennessee</x:v>
      </x:c>
      <x:c r="C5" s="28" t="str">
        <x:v>NGJ-L260803-5PR7</x:v>
      </x:c>
      <x:c r="D5" s="35" t="n">
        <x:v>2506.25</x:v>
      </x:c>
      <x:c r="E5" s="35" t="n">
        <x:v>-751.88</x:v>
      </x:c>
      <x:c r="F5" s="41" t="str">
        <x:v>Health &amp; Hygiene issues, there was metal wire in the food</x:v>
      </x:c>
      <x:c r="G5" s="37" t="n">
        <x:v>0.31</x:v>
      </x:c>
      <x:c r="H5" s="35" t="n">
        <x:v>126.34</x:v>
      </x:c>
      <x:c r="I5" s="39" t="n">
        <x:v>1590.31</x:v>
      </x:c>
    </x:row>
    <x:row r="6">
      <x:c r="A6" s="34" t="n">
        <x:v>46238.5</x:v>
      </x:c>
      <x:c r="B6" s="31" t="str">
        <x:v>Tennessee</x:v>
      </x:c>
      <x:c r="C6" s="31" t="str">
        <x:v>ECF-L260804-C5GU</x:v>
      </x:c>
      <x:c r="D6" s="36" t="n">
        <x:v>370</x:v>
      </x:c>
      <x:c r="E6" s="36" t="n">
        <x:v>0</x:v>
      </x:c>
      <x:c r="F6" s="42" t="str"/>
      <x:c r="G6" s="38" t="n">
        <x:v>0.31</x:v>
      </x:c>
      <x:c r="H6" s="36" t="n">
        <x:v>31.93</x:v>
      </x:c>
      <x:c r="I6" s="40" t="n">
        <x:v>401.93</x:v>
      </x:c>
    </x:row>
    <x:row r="7">
      <x:c r="A7" s="34" t="n">
        <x:v>46238.5</x:v>
      </x:c>
      <x:c r="B7" s="31" t="str">
        <x:v>Tennessee</x:v>
      </x:c>
      <x:c r="C7" s="31" t="str">
        <x:v>JQH-L260804-TSA8</x:v>
      </x:c>
      <x:c r="D7" s="36" t="n">
        <x:v>242</x:v>
      </x:c>
      <x:c r="E7" s="36" t="n">
        <x:v>0</x:v>
      </x:c>
      <x:c r="F7" s="42" t="str"/>
      <x:c r="G7" s="38" t="n">
        <x:v>0.31</x:v>
      </x:c>
      <x:c r="H7" s="36" t="n">
        <x:v>20.88</x:v>
      </x:c>
      <x:c r="I7" s="40" t="n">
        <x:v>262.88</x:v>
      </x:c>
    </x:row>
    <x:row r="8">
      <x:c r="A8" s="34" t="n">
        <x:v>46238.5</x:v>
      </x:c>
      <x:c r="B8" s="31" t="str">
        <x:v>Tennessee</x:v>
      </x:c>
      <x:c r="C8" s="31" t="str">
        <x:v>PIJ-L260804-DJRZ</x:v>
      </x:c>
      <x:c r="D8" s="36" t="n">
        <x:v>174.5</x:v>
      </x:c>
      <x:c r="E8" s="36" t="n">
        <x:v>-34.9</x:v>
      </x:c>
      <x:c r="F8" s="42" t="str">
        <x:v>More than 20 mins delay, caused big operational issues</x:v>
      </x:c>
      <x:c r="G8" s="38" t="n">
        <x:v>0.31</x:v>
      </x:c>
      <x:c r="H8" s="36" t="n">
        <x:v>12.05</x:v>
      </x:c>
      <x:c r="I8" s="40" t="n">
        <x:v>151.65</x:v>
      </x:c>
    </x:row>
    <x:row r="9">
      <x:c r="A9" s="34" t="n">
        <x:v>46239.5</x:v>
      </x:c>
      <x:c r="B9" s="31" t="str">
        <x:v>Tennessee</x:v>
      </x:c>
      <x:c r="C9" s="31" t="str">
        <x:v>VUD-L260805-UOB6</x:v>
      </x:c>
      <x:c r="D9" s="36" t="n">
        <x:v>259</x:v>
      </x:c>
      <x:c r="E9" s="36" t="n">
        <x:v>0</x:v>
      </x:c>
      <x:c r="F9" s="42" t="str"/>
      <x:c r="G9" s="38" t="n">
        <x:v>0.31</x:v>
      </x:c>
      <x:c r="H9" s="36" t="n">
        <x:v>22.35</x:v>
      </x:c>
      <x:c r="I9" s="40" t="n">
        <x:v>281.35</x:v>
      </x:c>
    </x:row>
    <x:row r="10">
      <x:c r="A10" s="34" t="n">
        <x:v>46239.5</x:v>
      </x:c>
      <x:c r="B10" s="31" t="str">
        <x:v>Geary</x:v>
      </x:c>
      <x:c r="C10" s="31" t="str">
        <x:v>JQH-D260805-TSA8</x:v>
      </x:c>
      <x:c r="D10" s="36" t="n">
        <x:v>36.95</x:v>
      </x:c>
      <x:c r="E10" s="36" t="n">
        <x:v>0</x:v>
      </x:c>
      <x:c r="F10" s="42" t="str"/>
      <x:c r="G10" s="38" t="n">
        <x:v>0.31</x:v>
      </x:c>
      <x:c r="H10" s="36" t="n">
        <x:v>3.17</x:v>
      </x:c>
      <x:c r="I10" s="40" t="n">
        <x:v>40.12</x:v>
      </x:c>
    </x:row>
    <x:row r="11">
      <x:c r="A11" s="34" t="n">
        <x:v>46240.5</x:v>
      </x:c>
      <x:c r="B11" s="31" t="str">
        <x:v>Tennessee</x:v>
      </x:c>
      <x:c r="C11" s="31" t="str">
        <x:v>TGI-L260806-K80P</x:v>
      </x:c>
      <x:c r="D11" s="36" t="n">
        <x:v>27.5</x:v>
      </x:c>
      <x:c r="E11" s="36" t="n">
        <x:v>0</x:v>
      </x:c>
      <x:c r="F11" s="42" t="str"/>
      <x:c r="G11" s="38" t="n">
        <x:v>0.31</x:v>
      </x:c>
      <x:c r="H11" s="36" t="n">
        <x:v>2.37</x:v>
      </x:c>
      <x:c r="I11" s="40" t="n">
        <x:v>29.87</x:v>
      </x:c>
    </x:row>
    <x:row r="12">
      <x:c r="A12" s="34" t="n">
        <x:v>46240.5</x:v>
      </x:c>
      <x:c r="B12" s="31" t="str">
        <x:v>Tennessee</x:v>
      </x:c>
      <x:c r="C12" s="31" t="str">
        <x:v>TIS-L260806-F1ZL</x:v>
      </x:c>
      <x:c r="D12" s="36" t="n">
        <x:v>19</x:v>
      </x:c>
      <x:c r="E12" s="36" t="n">
        <x:v>0</x:v>
      </x:c>
      <x:c r="F12" s="42" t="str"/>
      <x:c r="G12" s="38" t="n">
        <x:v>0.31</x:v>
      </x:c>
      <x:c r="H12" s="36" t="n">
        <x:v>1.64</x:v>
      </x:c>
      <x:c r="I12" s="40" t="n">
        <x:v>20.64</x:v>
      </x:c>
    </x:row>
    <x:row r="13">
      <x:c r="A13" s="34" t="n">
        <x:v>46240.5</x:v>
      </x:c>
      <x:c r="B13" s="31" t="str">
        <x:v>Tennessee</x:v>
      </x:c>
      <x:c r="C13" s="31" t="str">
        <x:v>MSC-L260806-65N4</x:v>
      </x:c>
      <x:c r="D13" s="36" t="n">
        <x:v>305.75</x:v>
      </x:c>
      <x:c r="E13" s="36" t="n">
        <x:v>-15</x:v>
      </x:c>
      <x:c r="F13" s="42" t="str">
        <x:v>Poor quality complaints</x:v>
      </x:c>
      <x:c r="G13" s="38" t="n">
        <x:v>0.31</x:v>
      </x:c>
      <x:c r="H13" s="36" t="n">
        <x:v>25.09</x:v>
      </x:c>
      <x:c r="I13" s="40" t="n">
        <x:v>315.84</x:v>
      </x:c>
    </x:row>
    <x:row r="14">
      <x:c r="A14" s="34" t="n">
        <x:v>46240.5</x:v>
      </x:c>
      <x:c r="B14" s="31" t="str">
        <x:v>Tennessee</x:v>
      </x:c>
      <x:c r="C14" s="31" t="str">
        <x:v>YNI-L260806-I5CZ</x:v>
      </x:c>
      <x:c r="D14" s="36" t="n">
        <x:v>214</x:v>
      </x:c>
      <x:c r="E14" s="36" t="n">
        <x:v>0</x:v>
      </x:c>
      <x:c r="F14" s="42" t="str"/>
      <x:c r="G14" s="38" t="n">
        <x:v>0.31</x:v>
      </x:c>
      <x:c r="H14" s="36" t="n">
        <x:v>18.47</x:v>
      </x:c>
      <x:c r="I14" s="40" t="n">
        <x:v>232.47</x:v>
      </x:c>
    </x:row>
    <x:row r="15">
      <x:c r="A15" s="34" t="n">
        <x:v>46240.5</x:v>
      </x:c>
      <x:c r="B15" s="31" t="str">
        <x:v>Tennessee</x:v>
      </x:c>
      <x:c r="C15" s="31" t="str">
        <x:v>JWL-L260806-XBFJ</x:v>
      </x:c>
      <x:c r="D15" s="36" t="n">
        <x:v>45.25</x:v>
      </x:c>
      <x:c r="E15" s="36" t="n">
        <x:v>0</x:v>
      </x:c>
      <x:c r="F15" s="42" t="str"/>
      <x:c r="G15" s="38" t="n">
        <x:v>0.31</x:v>
      </x:c>
      <x:c r="H15" s="36" t="n">
        <x:v>3.91</x:v>
      </x:c>
      <x:c r="I15" s="40" t="n">
        <x:v>49.16</x:v>
      </x:c>
    </x:row>
    <x:row r="16">
      <x:c r="A16" s="34" t="n">
        <x:v>46240.5</x:v>
      </x:c>
      <x:c r="B16" s="31" t="str">
        <x:v>Tennessee</x:v>
      </x:c>
      <x:c r="C16" s="31" t="str">
        <x:v>MHA-L260806-XKL3</x:v>
      </x:c>
      <x:c r="D16" s="36" t="n">
        <x:v>280</x:v>
      </x:c>
      <x:c r="E16" s="36" t="n">
        <x:v>0</x:v>
      </x:c>
      <x:c r="F16" s="42" t="str"/>
      <x:c r="G16" s="38" t="n">
        <x:v>0.31</x:v>
      </x:c>
      <x:c r="H16" s="36" t="n">
        <x:v>24.16</x:v>
      </x:c>
      <x:c r="I16" s="40" t="n">
        <x:v>304.16</x:v>
      </x:c>
    </x:row>
    <x:row r="17">
      <x:c r="A17" s="34" t="n">
        <x:v>46240.5</x:v>
      </x:c>
      <x:c r="B17" s="31" t="str">
        <x:v>Tennessee</x:v>
      </x:c>
      <x:c r="C17" s="31" t="str">
        <x:v>ZLF-L260806-F0YV</x:v>
      </x:c>
      <x:c r="D17" s="36" t="n">
        <x:v>54.75</x:v>
      </x:c>
      <x:c r="E17" s="36" t="n">
        <x:v>0</x:v>
      </x:c>
      <x:c r="F17" s="42" t="str"/>
      <x:c r="G17" s="38" t="n">
        <x:v>0.31</x:v>
      </x:c>
      <x:c r="H17" s="36" t="n">
        <x:v>4.72</x:v>
      </x:c>
      <x:c r="I17" s="40" t="n">
        <x:v>59.47</x:v>
      </x:c>
    </x:row>
    <x:row r="18">
      <x:c r="A18" s="34" t="n">
        <x:v>46240.5</x:v>
      </x:c>
      <x:c r="B18" s="31" t="str">
        <x:v>Tennessee</x:v>
      </x:c>
      <x:c r="C18" s="31" t="str">
        <x:v>QTE-L260806-QB0A</x:v>
      </x:c>
      <x:c r="D18" s="36" t="n">
        <x:v>535</x:v>
      </x:c>
      <x:c r="E18" s="36" t="n">
        <x:v>0</x:v>
      </x:c>
      <x:c r="F18" s="42" t="str"/>
      <x:c r="G18" s="38" t="n">
        <x:v>0.31</x:v>
      </x:c>
      <x:c r="H18" s="36" t="n">
        <x:v>46.17</x:v>
      </x:c>
      <x:c r="I18" s="40" t="n">
        <x:v>581.17</x:v>
      </x:c>
    </x:row>
    <x:row r="19">
      <x:c r="A19" s="34" t="n">
        <x:v>46240.5</x:v>
      </x:c>
      <x:c r="B19" s="31" t="str">
        <x:v>Tennessee</x:v>
      </x:c>
      <x:c r="C19" s="31" t="str">
        <x:v>GTL-L260806-O7WM</x:v>
      </x:c>
      <x:c r="D19" s="36" t="n">
        <x:v>9.5</x:v>
      </x:c>
      <x:c r="E19" s="36" t="n">
        <x:v>0</x:v>
      </x:c>
      <x:c r="F19" s="42" t="str"/>
      <x:c r="G19" s="38" t="n">
        <x:v>0.31</x:v>
      </x:c>
      <x:c r="H19" s="36" t="n">
        <x:v>0.82</x:v>
      </x:c>
      <x:c r="I19" s="40" t="n">
        <x:v>10.32</x:v>
      </x:c>
    </x:row>
    <x:row r="20">
      <x:c r="A20" s="34" t="n">
        <x:v>46241.5</x:v>
      </x:c>
      <x:c r="B20" s="31" t="str">
        <x:v>Tennessee</x:v>
      </x:c>
      <x:c r="C20" s="31" t="str">
        <x:v>DKN-L260807-YONJ</x:v>
      </x:c>
      <x:c r="D20" s="36" t="n">
        <x:v>141.25</x:v>
      </x:c>
      <x:c r="E20" s="36" t="n">
        <x:v>0</x:v>
      </x:c>
      <x:c r="F20" s="42" t="str"/>
      <x:c r="G20" s="38" t="n">
        <x:v>0.31</x:v>
      </x:c>
      <x:c r="H20" s="36" t="n">
        <x:v>12.19</x:v>
      </x:c>
      <x:c r="I20" s="40" t="n">
        <x:v>153.44</x:v>
      </x:c>
    </x:row>
    <x:row r="21">
      <x:c r="A21" s="34" t="n">
        <x:v>46243.5</x:v>
      </x:c>
      <x:c r="B21" s="31" t="str">
        <x:v>Geary</x:v>
      </x:c>
      <x:c r="C21" s="31" t="str">
        <x:v>JQH-D260809-TSA8</x:v>
      </x:c>
      <x:c r="D21" s="36" t="n">
        <x:v>16.85</x:v>
      </x:c>
      <x:c r="E21" s="36" t="n">
        <x:v>0</x:v>
      </x:c>
      <x:c r="F21" s="42" t="str"/>
      <x:c r="G21" s="38" t="n">
        <x:v>0.31</x:v>
      </x:c>
      <x:c r="H21" s="36" t="n">
        <x:v>1.45</x:v>
      </x:c>
      <x:c r="I21" s="40" t="n">
        <x:v>18.3</x:v>
      </x:c>
    </x:row>
    <x:row r="22">
      <x:c r="A22" s="34" t="n">
        <x:v>46246.5</x:v>
      </x:c>
      <x:c r="B22" s="31" t="str">
        <x:v>Geary</x:v>
      </x:c>
      <x:c r="C22" s="31" t="str">
        <x:v>JQH-D260812-TSA8</x:v>
      </x:c>
      <x:c r="D22" s="36" t="n">
        <x:v>26.4</x:v>
      </x:c>
      <x:c r="E22" s="36" t="n">
        <x:v>0</x:v>
      </x:c>
      <x:c r="F22" s="42" t="str"/>
      <x:c r="G22" s="38" t="n">
        <x:v>0.31</x:v>
      </x:c>
      <x:c r="H22" s="36" t="n">
        <x:v>2.27</x:v>
      </x:c>
      <x:c r="I22" s="40" t="n">
        <x:v>28.67</x:v>
      </x:c>
    </x:row>
    <x:row r="23">
      <x:c r="A23" s="34" t="n">
        <x:v>46247.5</x:v>
      </x:c>
      <x:c r="B23" s="31" t="str">
        <x:v>Tennessee</x:v>
      </x:c>
      <x:c r="C23" s="31" t="str">
        <x:v>KNH-L260813-41ET</x:v>
      </x:c>
      <x:c r="D23" s="36" t="n">
        <x:v>128</x:v>
      </x:c>
      <x:c r="E23" s="36" t="n">
        <x:v>0</x:v>
      </x:c>
      <x:c r="F23" s="42" t="str"/>
      <x:c r="G23" s="38" t="n">
        <x:v>0.31</x:v>
      </x:c>
      <x:c r="H23" s="36" t="n">
        <x:v>11.05</x:v>
      </x:c>
      <x:c r="I23" s="40" t="n">
        <x:v>139.05</x:v>
      </x:c>
    </x:row>
    <x:row r="24">
      <x:c r="A24" s="34" t="n">
        <x:v>46248.5</x:v>
      </x:c>
      <x:c r="B24" s="31" t="str">
        <x:v>Tennessee</x:v>
      </x:c>
      <x:c r="C24" s="31" t="str">
        <x:v>IEW-L260814-QVDZ</x:v>
      </x:c>
      <x:c r="D24" s="36" t="n">
        <x:v>41.5</x:v>
      </x:c>
      <x:c r="E24" s="36" t="n">
        <x:v>0</x:v>
      </x:c>
      <x:c r="F24" s="42" t="str"/>
      <x:c r="G24" s="38" t="n">
        <x:v>0.31</x:v>
      </x:c>
      <x:c r="H24" s="36" t="n">
        <x:v>3.58</x:v>
      </x:c>
      <x:c r="I24" s="40" t="n">
        <x:v>45.08</x:v>
      </x:c>
    </x:row>
    <x:row r="25">
      <x:c r="A25" s="34" t="n">
        <x:v>46251.5</x:v>
      </x:c>
      <x:c r="B25" s="31" t="str">
        <x:v>Tennessee</x:v>
      </x:c>
      <x:c r="C25" s="31" t="str">
        <x:v>HOE-L260817-PL7U</x:v>
      </x:c>
      <x:c r="D25" s="36" t="n">
        <x:v>678.75</x:v>
      </x:c>
      <x:c r="E25" s="36" t="n">
        <x:v>0</x:v>
      </x:c>
      <x:c r="F25" s="42" t="str"/>
      <x:c r="G25" s="38" t="n">
        <x:v>0.31</x:v>
      </x:c>
      <x:c r="H25" s="36" t="n">
        <x:v>58.58</x:v>
      </x:c>
      <x:c r="I25" s="40" t="n">
        <x:v>737.33</x:v>
      </x:c>
    </x:row>
    <x:row r="26">
      <x:c r="A26" s="34" t="n">
        <x:v>46251.5</x:v>
      </x:c>
      <x:c r="B26" s="31" t="str">
        <x:v>Tennessee</x:v>
      </x:c>
      <x:c r="C26" s="31" t="str">
        <x:v>YLU-L260817-VCBW</x:v>
      </x:c>
      <x:c r="D26" s="36" t="n">
        <x:v>228.25</x:v>
      </x:c>
      <x:c r="E26" s="36" t="n">
        <x:v>0</x:v>
      </x:c>
      <x:c r="F26" s="42" t="str"/>
      <x:c r="G26" s="38" t="n">
        <x:v>0.31</x:v>
      </x:c>
      <x:c r="H26" s="36" t="n">
        <x:v>19.7</x:v>
      </x:c>
      <x:c r="I26" s="40" t="n">
        <x:v>247.95</x:v>
      </x:c>
    </x:row>
    <x:row r="27">
      <x:c r="A27" s="34" t="n">
        <x:v>46252.5</x:v>
      </x:c>
      <x:c r="B27" s="31" t="str">
        <x:v>Tennessee</x:v>
      </x:c>
      <x:c r="C27" s="31" t="str">
        <x:v>MNW-L260818-MWL3</x:v>
      </x:c>
      <x:c r="D27" s="36" t="n">
        <x:v>880</x:v>
      </x:c>
      <x:c r="E27" s="36" t="n">
        <x:v>0</x:v>
      </x:c>
      <x:c r="F27" s="42" t="str"/>
      <x:c r="G27" s="38" t="n">
        <x:v>0.31</x:v>
      </x:c>
      <x:c r="H27" s="36" t="n">
        <x:v>75.94</x:v>
      </x:c>
      <x:c r="I27" s="40" t="n">
        <x:v>955.94</x:v>
      </x:c>
    </x:row>
    <x:row r="28">
      <x:c r="A28" s="34" t="n">
        <x:v>46254.5</x:v>
      </x:c>
      <x:c r="B28" s="31" t="str">
        <x:v>Tennessee</x:v>
      </x:c>
      <x:c r="C28" s="31" t="str">
        <x:v>NGJ-L260820-5PR7</x:v>
      </x:c>
      <x:c r="D28" s="36" t="n">
        <x:v>2259.75</x:v>
      </x:c>
      <x:c r="E28" s="36" t="n">
        <x:v>0</x:v>
      </x:c>
      <x:c r="F28" s="42" t="str"/>
      <x:c r="G28" s="38" t="n">
        <x:v>0.31</x:v>
      </x:c>
      <x:c r="H28" s="36" t="n">
        <x:v>172.46</x:v>
      </x:c>
      <x:c r="I28" s="40" t="n">
        <x:v>2170.85</x:v>
      </x:c>
    </x:row>
    <x:row r="29">
      <x:c r="A29" s="34" t="n">
        <x:v>46255.5</x:v>
      </x:c>
      <x:c r="B29" s="31" t="str">
        <x:v>Tennessee</x:v>
      </x:c>
      <x:c r="C29" s="31" t="str">
        <x:v>GNC-L260821-KZ5S</x:v>
      </x:c>
      <x:c r="D29" s="36" t="n">
        <x:v>545</x:v>
      </x:c>
      <x:c r="E29" s="36" t="n">
        <x:v>0</x:v>
      </x:c>
      <x:c r="F29" s="42" t="str"/>
      <x:c r="G29" s="38" t="n">
        <x:v>0.31</x:v>
      </x:c>
      <x:c r="H29" s="36" t="n">
        <x:v>47.03</x:v>
      </x:c>
      <x:c r="I29" s="40" t="n">
        <x:v>592.03</x:v>
      </x:c>
    </x:row>
    <x:row r="30">
      <x:c r="A30" s="34" t="n">
        <x:v>46255.5</x:v>
      </x:c>
      <x:c r="B30" s="31" t="str">
        <x:v>Tennessee</x:v>
      </x:c>
      <x:c r="C30" s="31" t="str">
        <x:v>FWE-L260821-QWZ1</x:v>
      </x:c>
      <x:c r="D30" s="36" t="n">
        <x:v>192.5</x:v>
      </x:c>
      <x:c r="E30" s="36" t="n">
        <x:v>0</x:v>
      </x:c>
      <x:c r="F30" s="42" t="str"/>
      <x:c r="G30" s="38" t="n">
        <x:v>0.31</x:v>
      </x:c>
      <x:c r="H30" s="36" t="n">
        <x:v>16.61</x:v>
      </x:c>
      <x:c r="I30" s="40" t="n">
        <x:v>209.11</x:v>
      </x:c>
    </x:row>
    <x:row r="31">
      <x:c r="A31" s="34" t="n">
        <x:v>46255.5</x:v>
      </x:c>
      <x:c r="B31" s="31" t="str">
        <x:v>Geary</x:v>
      </x:c>
      <x:c r="C31" s="31" t="str">
        <x:v>TFP-D260821-Y1QJ</x:v>
      </x:c>
      <x:c r="D31" s="36" t="n">
        <x:v>413.5</x:v>
      </x:c>
      <x:c r="E31" s="36" t="n">
        <x:v>0</x:v>
      </x:c>
      <x:c r="F31" s="42" t="str"/>
      <x:c r="G31" s="38" t="n">
        <x:v>0.31</x:v>
      </x:c>
      <x:c r="H31" s="36" t="n">
        <x:v>35.49</x:v>
      </x:c>
      <x:c r="I31" s="40" t="n">
        <x:v>448.99</x:v>
      </x:c>
    </x:row>
    <x:row r="32">
      <x:c r="A32" s="34" t="n">
        <x:v>46258.5</x:v>
      </x:c>
      <x:c r="B32" s="31" t="str">
        <x:v>Tennessee</x:v>
      </x:c>
      <x:c r="C32" s="31" t="str">
        <x:v>ADF-L260824-YLNK</x:v>
      </x:c>
      <x:c r="D32" s="36" t="n">
        <x:v>1281.5</x:v>
      </x:c>
      <x:c r="E32" s="36" t="n">
        <x:v>0</x:v>
      </x:c>
      <x:c r="F32" s="42" t="str"/>
      <x:c r="G32" s="38" t="n">
        <x:v>0.31</x:v>
      </x:c>
      <x:c r="H32" s="36" t="n">
        <x:v>110.59</x:v>
      </x:c>
      <x:c r="I32" s="40" t="n">
        <x:v>1392.09</x:v>
      </x:c>
    </x:row>
    <x:row r="33">
      <x:c r="A33" s="34" t="n">
        <x:v>46258.5</x:v>
      </x:c>
      <x:c r="B33" s="31" t="str">
        <x:v>Tennessee</x:v>
      </x:c>
      <x:c r="C33" s="31" t="str">
        <x:v>IEW-L260824-QVDZ</x:v>
      </x:c>
      <x:c r="D33" s="36" t="n">
        <x:v>19</x:v>
      </x:c>
      <x:c r="E33" s="36" t="n">
        <x:v>0</x:v>
      </x:c>
      <x:c r="F33" s="42" t="str"/>
      <x:c r="G33" s="38" t="n">
        <x:v>0.31</x:v>
      </x:c>
      <x:c r="H33" s="36" t="n">
        <x:v>1.64</x:v>
      </x:c>
      <x:c r="I33" s="40" t="n">
        <x:v>20.64</x:v>
      </x:c>
    </x:row>
    <x:row r="34">
      <x:c r="A34" s="34" t="n">
        <x:v>46258.5</x:v>
      </x:c>
      <x:c r="B34" s="31" t="str">
        <x:v>Tennessee</x:v>
      </x:c>
      <x:c r="C34" s="31" t="str">
        <x:v>KAT-L260824-XKEP</x:v>
      </x:c>
      <x:c r="D34" s="36" t="n">
        <x:v>9.5</x:v>
      </x:c>
      <x:c r="E34" s="36" t="n">
        <x:v>0</x:v>
      </x:c>
      <x:c r="F34" s="42" t="str"/>
      <x:c r="G34" s="38" t="n">
        <x:v>0.31</x:v>
      </x:c>
      <x:c r="H34" s="36" t="n">
        <x:v>0.82</x:v>
      </x:c>
      <x:c r="I34" s="40" t="n">
        <x:v>10.32</x:v>
      </x:c>
    </x:row>
    <x:row r="35">
      <x:c r="A35" s="34" t="n">
        <x:v>46259.5</x:v>
      </x:c>
      <x:c r="B35" s="31" t="str">
        <x:v>Geary</x:v>
      </x:c>
      <x:c r="C35" s="31" t="str">
        <x:v>JQH-D260825-TSA8</x:v>
      </x:c>
      <x:c r="D35" s="36" t="n">
        <x:v>27.4</x:v>
      </x:c>
      <x:c r="E35" s="36" t="n">
        <x:v>0</x:v>
      </x:c>
      <x:c r="F35" s="42" t="str"/>
      <x:c r="G35" s="38" t="n">
        <x:v>0.31</x:v>
      </x:c>
      <x:c r="H35" s="36" t="n">
        <x:v>2.35</x:v>
      </x:c>
      <x:c r="I35" s="40" t="n">
        <x:v>29.75</x:v>
      </x:c>
    </x:row>
    <x:row r="36">
      <x:c r="A36" s="34" t="n">
        <x:v>46260.5</x:v>
      </x:c>
      <x:c r="B36" s="31" t="str">
        <x:v>Tennessee</x:v>
      </x:c>
      <x:c r="C36" s="31" t="str">
        <x:v>JQH-L260826-TSA8</x:v>
      </x:c>
      <x:c r="D36" s="36" t="n">
        <x:v>447.25</x:v>
      </x:c>
      <x:c r="E36" s="36" t="n">
        <x:v>0</x:v>
      </x:c>
      <x:c r="F36" s="42" t="str"/>
      <x:c r="G36" s="38" t="n">
        <x:v>0.31</x:v>
      </x:c>
      <x:c r="H36" s="36" t="n">
        <x:v>38.6</x:v>
      </x:c>
      <x:c r="I36" s="40" t="n">
        <x:v>485.85</x:v>
      </x:c>
    </x:row>
    <x:row r="37">
      <x:c r="A37" s="34" t="n">
        <x:v>46260.5</x:v>
      </x:c>
      <x:c r="B37" s="31" t="str">
        <x:v>Tennessee</x:v>
      </x:c>
      <x:c r="C37" s="31" t="str">
        <x:v>PIJ-L260826-DJRZ</x:v>
      </x:c>
      <x:c r="D37" s="36" t="n">
        <x:v>334</x:v>
      </x:c>
      <x:c r="E37" s="36" t="n">
        <x:v>0</x:v>
      </x:c>
      <x:c r="F37" s="42" t="str"/>
      <x:c r="G37" s="38" t="n">
        <x:v>0.31</x:v>
      </x:c>
      <x:c r="H37" s="36" t="n">
        <x:v>28.82</x:v>
      </x:c>
      <x:c r="I37" s="40" t="n">
        <x:v>362.82</x:v>
      </x:c>
    </x:row>
    <x:row r="38">
      <x:c r="A38" s="34" t="n">
        <x:v>46260.5</x:v>
      </x:c>
      <x:c r="B38" s="31" t="str">
        <x:v>Tennessee</x:v>
      </x:c>
      <x:c r="C38" s="31" t="str">
        <x:v>SEC-L260826-N562</x:v>
      </x:c>
      <x:c r="D38" s="36" t="n">
        <x:v>86.5</x:v>
      </x:c>
      <x:c r="E38" s="36" t="n">
        <x:v>0</x:v>
      </x:c>
      <x:c r="F38" s="42" t="str"/>
      <x:c r="G38" s="38" t="n">
        <x:v>0.31</x:v>
      </x:c>
      <x:c r="H38" s="36" t="n">
        <x:v>7.46</x:v>
      </x:c>
      <x:c r="I38" s="40" t="n">
        <x:v>93.96</x:v>
      </x:c>
    </x:row>
    <x:row r="39">
      <x:c r="A39" s="34" t="n">
        <x:v>46262.5</x:v>
      </x:c>
      <x:c r="B39" s="31" t="str">
        <x:v>Tennessee</x:v>
      </x:c>
      <x:c r="C39" s="31" t="str">
        <x:v>KNH-L260828-41ET</x:v>
      </x:c>
      <x:c r="D39" s="36" t="n">
        <x:v>31</x:v>
      </x:c>
      <x:c r="E39" s="36" t="n">
        <x:v>0</x:v>
      </x:c>
      <x:c r="F39" s="42" t="str"/>
      <x:c r="G39" s="38" t="n">
        <x:v>0.31</x:v>
      </x:c>
      <x:c r="H39" s="36" t="n">
        <x:v>2.68</x:v>
      </x:c>
      <x:c r="I39" s="40" t="n">
        <x:v>33.68</x:v>
      </x:c>
    </x:row>
    <x:row r="40">
      <x:c r="A40" s="34" t="n">
        <x:v>46265.5</x:v>
      </x:c>
      <x:c r="B40" s="31" t="str">
        <x:v>Tennessee</x:v>
      </x:c>
      <x:c r="C40" s="31" t="str">
        <x:v>NGJ-L260831-5PR7</x:v>
      </x:c>
      <x:c r="D40" s="36" t="n">
        <x:v>2244.25</x:v>
      </x:c>
      <x:c r="E40" s="36" t="n">
        <x:v>0</x:v>
      </x:c>
      <x:c r="F40" s="42" t="str"/>
      <x:c r="G40" s="38" t="n">
        <x:v>0.31</x:v>
      </x:c>
      <x:c r="H40" s="36" t="n">
        <x:v>171.33</x:v>
      </x:c>
      <x:c r="I40" s="40" t="n">
        <x:v>2156.62</x:v>
      </x:c>
    </x:row>
  </x:sheetData>
  <x:mergeCells>
    <x:mergeCell ref="A1:I1"/>
    <x:mergeCell ref="A2:I2"/>
  </x:mergeCells>
  <x:conditionalFormatting sqref="A5:I40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e5a27b0b8e468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3" hidden="0" customWidth="1"/>
    <x:col min="4" max="4" width="52" hidden="0" customWidth="1"/>
    <x:col min="5" max="5" width="17" hidden="0" customWidth="1"/>
    <x:col min="6" max="6" width="26" hidden="0" customWidth="1"/>
  </x:cols>
  <x:sheetData>
    <x:row r="1" ht="30" customHeight="1">
      <x:c r="A1" s="3" t="str">
        <x:v>ClubFeast — Menu Details</x:v>
      </x:c>
      <x:c r="B1" s="3"/>
      <x:c r="C1" s="3"/>
      <x:c r="D1" s="3"/>
      <x:c r="E1" s="3"/>
      <x:c r="F1" s="3"/>
    </x:row>
    <x:row r="2" ht="38" customHeight="1">
      <x:c r="A2" s="7" t="str">
        <x:v>Enter one row per menu item within each order. Repeat Date, Branch, and Order ID for every menu line. Verified source: 274 menu rows from 36 August orders.</x:v>
      </x:c>
      <x:c r="B2" s="7"/>
      <x:c r="C2" s="7"/>
      <x:c r="D2" s="7"/>
      <x:c r="E2" s="7"/>
      <x:c r="F2" s="7"/>
    </x:row>
    <x:row r="3" ht="10" customHeight="1"/>
    <x:row r="4" ht="34" customHeight="1">
      <x:c r="A4" s="16" t="str">
        <x:v>Date</x:v>
      </x:c>
      <x:c r="B4" s="17" t="str">
        <x:v>Branch</x:v>
      </x:c>
      <x:c r="C4" s="17" t="str">
        <x:v>Order ID</x:v>
      </x:c>
      <x:c r="D4" s="17" t="str">
        <x:v>Menu</x:v>
      </x:c>
      <x:c r="E4" s="17" t="str">
        <x:v>Menu Pricing</x:v>
      </x:c>
      <x:c r="F4" s="18" t="str">
        <x:v>No. of Orders for Each Menu</x:v>
      </x:c>
    </x:row>
    <x:row r="5">
      <x:c r="A5" s="33" t="n">
        <x:v>46237.5</x:v>
      </x:c>
      <x:c r="B5" s="28" t="str">
        <x:v>Tennessee</x:v>
      </x:c>
      <x:c r="C5" s="28" t="str">
        <x:v>NGJ-L260803-5PR7</x:v>
      </x:c>
      <x:c r="D5" s="41" t="str">
        <x:v>Charcoal-Grilled BBQ Chicken Noodles</x:v>
      </x:c>
      <x:c r="E5" s="35" t="n">
        <x:f>IFERROR('Source Data'!C5/'Source Data'!D5,0)</x:f>
        <x:v>9.5</x:v>
      </x:c>
      <x:c r="F5" s="43" t="n">
        <x:v>3</x:v>
      </x:c>
    </x:row>
    <x:row r="6">
      <x:c r="A6" s="34" t="n">
        <x:v>46237.5</x:v>
      </x:c>
      <x:c r="B6" s="31" t="str">
        <x:v>Tennessee</x:v>
      </x:c>
      <x:c r="C6" s="31" t="str">
        <x:v>NGJ-L260803-5PR7</x:v>
      </x:c>
      <x:c r="D6" s="42" t="str">
        <x:v>Green Curry Charcoal-Grilled BBQ Chicken Rice</x:v>
      </x:c>
      <x:c r="E6" s="36" t="n">
        <x:f>IFERROR('Source Data'!C6/'Source Data'!D6,0)</x:f>
        <x:v>9.75</x:v>
      </x:c>
      <x:c r="F6" s="44" t="n">
        <x:v>3</x:v>
      </x:c>
    </x:row>
    <x:row r="7">
      <x:c r="A7" s="34" t="n">
        <x:v>46237.5</x:v>
      </x:c>
      <x:c r="B7" s="31" t="str">
        <x:v>Tennessee</x:v>
      </x:c>
      <x:c r="C7" s="31" t="str">
        <x:v>NGJ-L260803-5PR7</x:v>
      </x:c>
      <x:c r="D7" s="42" t="str">
        <x:v>Hatyai Crispy Chicken Rice</x:v>
      </x:c>
      <x:c r="E7" s="36" t="n">
        <x:f>IFERROR('Source Data'!C7/'Source Data'!D7,0)</x:f>
        <x:v>9.5</x:v>
      </x:c>
      <x:c r="F7" s="44" t="n">
        <x:v>3</x:v>
      </x:c>
    </x:row>
    <x:row r="8">
      <x:c r="A8" s="34" t="n">
        <x:v>46237.5</x:v>
      </x:c>
      <x:c r="B8" s="31" t="str">
        <x:v>Tennessee</x:v>
      </x:c>
      <x:c r="C8" s="31" t="str">
        <x:v>NGJ-L260803-5PR7</x:v>
      </x:c>
      <x:c r="D8" s="42" t="str">
        <x:v>Charcoal-Grilled BBQ Chicken (10 lbs) – Full Tray (Large standard depth tray size, Serves 20)</x:v>
      </x:c>
      <x:c r="E8" s="36" t="n">
        <x:f>IFERROR('Source Data'!C8/'Source Data'!D8,0)</x:f>
        <x:v>100</x:v>
      </x:c>
      <x:c r="F8" s="44" t="n">
        <x:v>4</x:v>
      </x:c>
    </x:row>
    <x:row r="9">
      <x:c r="A9" s="34" t="n">
        <x:v>46237.5</x:v>
      </x:c>
      <x:c r="B9" s="31" t="str">
        <x:v>Tennessee</x:v>
      </x:c>
      <x:c r="C9" s="31" t="str">
        <x:v>NGJ-L260803-5PR7</x:v>
      </x:c>
      <x:c r="D9" s="42" t="str">
        <x:v>Hatyai Crispy Chicken (10 lbs) – Full Tray (Large standard depth tray size, Serves 20)</x:v>
      </x:c>
      <x:c r="E9" s="36" t="n">
        <x:f>IFERROR('Source Data'!C9/'Source Data'!D9,0)</x:f>
        <x:v>100</x:v>
      </x:c>
      <x:c r="F9" s="44" t="n">
        <x:v>4</x:v>
      </x:c>
    </x:row>
    <x:row r="10">
      <x:c r="A10" s="34" t="n">
        <x:v>46237.5</x:v>
      </x:c>
      <x:c r="B10" s="31" t="str">
        <x:v>Tennessee</x:v>
      </x:c>
      <x:c r="C10" s="31" t="str">
        <x:v>NGJ-L260803-5PR7</x:v>
      </x:c>
      <x:c r="D10" s="42" t="str">
        <x:v>Spicy Thai Basil Pork (10 Lbs) - Full Tray (Large standard depth tray size, Serves 20)</x:v>
      </x:c>
      <x:c r="E10" s="36" t="n">
        <x:f>IFERROR('Source Data'!C10/'Source Data'!D10,0)</x:f>
        <x:v>100</x:v>
      </x:c>
      <x:c r="F10" s="44" t="n">
        <x:v>3</x:v>
      </x:c>
    </x:row>
    <x:row r="11">
      <x:c r="A11" s="34" t="n">
        <x:v>46237.5</x:v>
      </x:c>
      <x:c r="B11" s="31" t="str">
        <x:v>Tennessee</x:v>
      </x:c>
      <x:c r="C11" s="31" t="str">
        <x:v>NGJ-L260803-5PR7</x:v>
      </x:c>
      <x:c r="D11" s="42" t="str">
        <x:v>Vegetarian Yellow Curry (10 lbs) – Full Tray (NOT Spicy) (Large standard depth tray size, Serves 20)</x:v>
      </x:c>
      <x:c r="E11" s="36" t="n">
        <x:f>IFERROR('Source Data'!C11/'Source Data'!D11,0)</x:f>
        <x:v>75</x:v>
      </x:c>
      <x:c r="F11" s="44" t="n">
        <x:v>4</x:v>
      </x:c>
    </x:row>
    <x:row r="12">
      <x:c r="A12" s="34" t="n">
        <x:v>46237.5</x:v>
      </x:c>
      <x:c r="B12" s="31" t="str">
        <x:v>Tennessee</x:v>
      </x:c>
      <x:c r="C12" s="31" t="str">
        <x:v>NGJ-L260803-5PR7</x:v>
      </x:c>
      <x:c r="D12" s="42" t="str">
        <x:v>Bangkok Pepper Tofu – Full Tray (10 pounds, Serves 20)</x:v>
      </x:c>
      <x:c r="E12" s="36" t="n">
        <x:f>IFERROR('Source Data'!C12/'Source Data'!D12,0)</x:f>
        <x:v>120</x:v>
      </x:c>
      <x:c r="F12" s="44" t="n">
        <x:v>2</x:v>
      </x:c>
    </x:row>
    <x:row r="13">
      <x:c r="A13" s="34" t="n">
        <x:v>46237.5</x:v>
      </x:c>
      <x:c r="B13" s="31" t="str">
        <x:v>Tennessee</x:v>
      </x:c>
      <x:c r="C13" s="31" t="str">
        <x:v>NGJ-L260803-5PR7</x:v>
      </x:c>
      <x:c r="D13" s="42" t="str">
        <x:v>Salad Base (5 lbs) – Full Tray (Large standard depth tray size, Serves 20)</x:v>
      </x:c>
      <x:c r="E13" s="36" t="n">
        <x:f>IFERROR('Source Data'!C13/'Source Data'!D13,0)</x:f>
        <x:v>50</x:v>
      </x:c>
      <x:c r="F13" s="44" t="n">
        <x:v>7</x:v>
      </x:c>
    </x:row>
    <x:row r="14">
      <x:c r="A14" s="34" t="n">
        <x:v>46237.5</x:v>
      </x:c>
      <x:c r="B14" s="31" t="str">
        <x:v>Tennessee</x:v>
      </x:c>
      <x:c r="C14" s="31" t="str">
        <x:v>NGJ-L260803-5PR7</x:v>
      </x:c>
      <x:c r="D14" s="42" t="str">
        <x:v>Noodles (10 lbs) – Full Tray (Large standard depth tray size, Serves 20)</x:v>
      </x:c>
      <x:c r="E14" s="36" t="n">
        <x:f>IFERROR('Source Data'!C14/'Source Data'!D14,0)</x:f>
        <x:v>50</x:v>
      </x:c>
      <x:c r="F14" s="44" t="n">
        <x:v>5</x:v>
      </x:c>
    </x:row>
    <x:row r="15">
      <x:c r="A15" s="34" t="n">
        <x:v>46237.5</x:v>
      </x:c>
      <x:c r="B15" s="31" t="str">
        <x:v>Tennessee</x:v>
      </x:c>
      <x:c r="C15" s="31" t="str">
        <x:v>NGJ-L260803-5PR7</x:v>
      </x:c>
      <x:c r="D15" s="42" t="str">
        <x:v>Rice (10 lbs) – Full Tray (Large standard depth tray size, Serves 20)</x:v>
      </x:c>
      <x:c r="E15" s="36" t="n">
        <x:f>IFERROR('Source Data'!C15/'Source Data'!D15,0)</x:f>
        <x:v>30</x:v>
      </x:c>
      <x:c r="F15" s="44" t="n">
        <x:v>6</x:v>
      </x:c>
    </x:row>
    <x:row r="16">
      <x:c r="A16" s="34" t="n">
        <x:v>46238.5</x:v>
      </x:c>
      <x:c r="B16" s="31" t="str">
        <x:v>Tennessee</x:v>
      </x:c>
      <x:c r="C16" s="31" t="str">
        <x:v>ECF-L260804-C5GU</x:v>
      </x:c>
      <x:c r="D16" s="42" t="str">
        <x:v>Hatyai Crispy Chicken Rice</x:v>
      </x:c>
      <x:c r="E16" s="36" t="n">
        <x:f>IFERROR('Source Data'!C16/'Source Data'!D16,0)</x:f>
        <x:v>9.5</x:v>
      </x:c>
      <x:c r="F16" s="44" t="n">
        <x:v>1</x:v>
      </x:c>
    </x:row>
    <x:row r="17">
      <x:c r="A17" s="34" t="n">
        <x:v>46238.5</x:v>
      </x:c>
      <x:c r="B17" s="31" t="str">
        <x:v>Tennessee</x:v>
      </x:c>
      <x:c r="C17" s="31" t="str">
        <x:v>ECF-L260804-C5GU</x:v>
      </x:c>
      <x:c r="D17" s="42" t="str">
        <x:v>Bangkok Pepper Tofu with Herb-Infused Noodle</x:v>
      </x:c>
      <x:c r="E17" s="36" t="n">
        <x:f>IFERROR('Source Data'!C17/'Source Data'!D17,0)</x:f>
        <x:v>8.25</x:v>
      </x:c>
      <x:c r="F17" s="44" t="n">
        <x:v>2</x:v>
      </x:c>
    </x:row>
    <x:row r="18">
      <x:c r="A18" s="34" t="n">
        <x:v>46238.5</x:v>
      </x:c>
      <x:c r="B18" s="31" t="str">
        <x:v>Tennessee</x:v>
      </x:c>
      <x:c r="C18" s="31" t="str">
        <x:v>ECF-L260804-C5GU</x:v>
      </x:c>
      <x:c r="D18" s="42" t="str">
        <x:v>Charcoal-Grilled BBQ Chicken Noodles</x:v>
      </x:c>
      <x:c r="E18" s="36" t="n">
        <x:f>IFERROR('Source Data'!C18/'Source Data'!D18,0)</x:f>
        <x:v>9.5</x:v>
      </x:c>
      <x:c r="F18" s="44" t="n">
        <x:v>2</x:v>
      </x:c>
    </x:row>
    <x:row r="19">
      <x:c r="A19" s="34" t="n">
        <x:v>46238.5</x:v>
      </x:c>
      <x:c r="B19" s="31" t="str">
        <x:v>Tennessee</x:v>
      </x:c>
      <x:c r="C19" s="31" t="str">
        <x:v>ECF-L260804-C5GU</x:v>
      </x:c>
      <x:c r="D19" s="42" t="str">
        <x:v>Hatyai Crispy Chicken Noodles</x:v>
      </x:c>
      <x:c r="E19" s="36" t="n">
        <x:f>IFERROR('Source Data'!C19/'Source Data'!D19,0)</x:f>
        <x:v>9.5</x:v>
      </x:c>
      <x:c r="F19" s="44" t="n">
        <x:v>4</x:v>
      </x:c>
    </x:row>
    <x:row r="20">
      <x:c r="A20" s="34" t="n">
        <x:v>46238.5</x:v>
      </x:c>
      <x:c r="B20" s="31" t="str">
        <x:v>Tennessee</x:v>
      </x:c>
      <x:c r="C20" s="31" t="str">
        <x:v>ECF-L260804-C5GU</x:v>
      </x:c>
      <x:c r="D20" s="42" t="str">
        <x:v>Shredded Chicken Noodles</x:v>
      </x:c>
      <x:c r="E20" s="36" t="n">
        <x:f>IFERROR('Source Data'!C20/'Source Data'!D20,0)</x:f>
        <x:v>8.25</x:v>
      </x:c>
      <x:c r="F20" s="44" t="n">
        <x:v>3</x:v>
      </x:c>
    </x:row>
    <x:row r="21">
      <x:c r="A21" s="34" t="n">
        <x:v>46238.5</x:v>
      </x:c>
      <x:c r="B21" s="31" t="str">
        <x:v>Tennessee</x:v>
      </x:c>
      <x:c r="C21" s="31" t="str">
        <x:v>ECF-L260804-C5GU</x:v>
      </x:c>
      <x:c r="D21" s="42" t="str">
        <x:v>Charcoal-Grilled BBQ Chicken Salad</x:v>
      </x:c>
      <x:c r="E21" s="36" t="n">
        <x:f>IFERROR('Source Data'!C21/'Source Data'!D21,0)</x:f>
        <x:v>9.5</x:v>
      </x:c>
      <x:c r="F21" s="44" t="n">
        <x:v>9</x:v>
      </x:c>
    </x:row>
    <x:row r="22">
      <x:c r="A22" s="34" t="n">
        <x:v>46238.5</x:v>
      </x:c>
      <x:c r="B22" s="31" t="str">
        <x:v>Tennessee</x:v>
      </x:c>
      <x:c r="C22" s="31" t="str">
        <x:v>ECF-L260804-C5GU</x:v>
      </x:c>
      <x:c r="D22" s="42" t="str">
        <x:v>Green Curry Charcoal-Grilled BBQ Chicken Rice</x:v>
      </x:c>
      <x:c r="E22" s="36" t="n">
        <x:f>IFERROR('Source Data'!C22/'Source Data'!D22,0)</x:f>
        <x:v>9.75</x:v>
      </x:c>
      <x:c r="F22" s="44" t="n">
        <x:v>6</x:v>
      </x:c>
    </x:row>
    <x:row r="23">
      <x:c r="A23" s="34" t="n">
        <x:v>46238.5</x:v>
      </x:c>
      <x:c r="B23" s="31" t="str">
        <x:v>Tennessee</x:v>
      </x:c>
      <x:c r="C23" s="31" t="str">
        <x:v>ECF-L260804-C5GU</x:v>
      </x:c>
      <x:c r="D23" s="42" t="str">
        <x:v>Charcoal-Grilled BBQ Chicken Rice</x:v>
      </x:c>
      <x:c r="E23" s="36" t="n">
        <x:f>IFERROR('Source Data'!C23/'Source Data'!D23,0)</x:f>
        <x:v>9.5</x:v>
      </x:c>
      <x:c r="F23" s="44" t="n">
        <x:v>2</x:v>
      </x:c>
    </x:row>
    <x:row r="24">
      <x:c r="A24" s="34" t="n">
        <x:v>46238.5</x:v>
      </x:c>
      <x:c r="B24" s="31" t="str">
        <x:v>Tennessee</x:v>
      </x:c>
      <x:c r="C24" s="31" t="str">
        <x:v>ECF-L260804-C5GU</x:v>
      </x:c>
      <x:c r="D24" s="42" t="str">
        <x:v>Hatyai Crispy Chicken Salad with Side</x:v>
      </x:c>
      <x:c r="E24" s="36" t="n">
        <x:f>IFERROR('Source Data'!C24/'Source Data'!D24,0)</x:f>
        <x:v>9.5</x:v>
      </x:c>
      <x:c r="F24" s="44" t="n">
        <x:v>1</x:v>
      </x:c>
    </x:row>
    <x:row r="25">
      <x:c r="A25" s="34" t="n">
        <x:v>46238.5</x:v>
      </x:c>
      <x:c r="B25" s="31" t="str">
        <x:v>Tennessee</x:v>
      </x:c>
      <x:c r="C25" s="31" t="str">
        <x:v>ECF-L260804-C5GU</x:v>
      </x:c>
      <x:c r="D25" s="42" t="str">
        <x:v>Green Curry Hatyai Crispy Chicken Rice</x:v>
      </x:c>
      <x:c r="E25" s="36" t="n">
        <x:f>IFERROR('Source Data'!C25/'Source Data'!D25,0)</x:f>
        <x:v>9.75</x:v>
      </x:c>
      <x:c r="F25" s="44" t="n">
        <x:v>4</x:v>
      </x:c>
    </x:row>
    <x:row r="26">
      <x:c r="A26" s="34" t="n">
        <x:v>46238.5</x:v>
      </x:c>
      <x:c r="B26" s="31" t="str">
        <x:v>Tennessee</x:v>
      </x:c>
      <x:c r="C26" s="31" t="str">
        <x:v>ECF-L260804-C5GU</x:v>
      </x:c>
      <x:c r="D26" s="42" t="str">
        <x:v>Bangkok Pepper Tofu with Garlic Rice</x:v>
      </x:c>
      <x:c r="E26" s="36" t="n">
        <x:f>IFERROR('Source Data'!C26/'Source Data'!D26,0)</x:f>
        <x:v>7.25</x:v>
      </x:c>
      <x:c r="F26" s="44" t="n">
        <x:v>3</x:v>
      </x:c>
    </x:row>
    <x:row r="27">
      <x:c r="A27" s="34" t="n">
        <x:v>46238.5</x:v>
      </x:c>
      <x:c r="B27" s="31" t="str">
        <x:v>Tennessee</x:v>
      </x:c>
      <x:c r="C27" s="31" t="str">
        <x:v>ECF-L260804-C5GU</x:v>
      </x:c>
      <x:c r="D27" s="42" t="str">
        <x:v>Shredded Chicken Salad</x:v>
      </x:c>
      <x:c r="E27" s="36" t="n">
        <x:f>IFERROR('Source Data'!C27/'Source Data'!D27,0)</x:f>
        <x:v>8.75</x:v>
      </x:c>
      <x:c r="F27" s="44" t="n">
        <x:v>1</x:v>
      </x:c>
    </x:row>
    <x:row r="28">
      <x:c r="A28" s="34" t="n">
        <x:v>46238.5</x:v>
      </x:c>
      <x:c r="B28" s="31" t="str">
        <x:v>Tennessee</x:v>
      </x:c>
      <x:c r="C28" s="31" t="str">
        <x:v>ECF-L260804-C5GU</x:v>
      </x:c>
      <x:c r="D28" s="42" t="str">
        <x:v>(NO CHICHARRON )Shredded Chicken Noodles</x:v>
      </x:c>
      <x:c r="E28" s="36" t="n">
        <x:f>IFERROR('Source Data'!C28/'Source Data'!D28,0)</x:f>
        <x:v>8.25</x:v>
      </x:c>
      <x:c r="F28" s="44" t="n">
        <x:v>1</x:v>
      </x:c>
    </x:row>
    <x:row r="29">
      <x:c r="A29" s="34" t="n">
        <x:v>46238.5</x:v>
      </x:c>
      <x:c r="B29" s="31" t="str">
        <x:v>Tennessee</x:v>
      </x:c>
      <x:c r="C29" s="31" t="str">
        <x:v>ECF-L260804-C5GU</x:v>
      </x:c>
      <x:c r="D29" s="42" t="str">
        <x:v>Spring Roll with Thai Sweet Chilli Sauce (3 pieces)</x:v>
      </x:c>
      <x:c r="E29" s="36" t="n">
        <x:f>IFERROR('Source Data'!C29/'Source Data'!D29,0)</x:f>
        <x:v>3</x:v>
      </x:c>
      <x:c r="F29" s="44" t="n">
        <x:v>4</x:v>
      </x:c>
    </x:row>
    <x:row r="30">
      <x:c r="A30" s="34" t="n">
        <x:v>46238.5</x:v>
      </x:c>
      <x:c r="B30" s="31" t="str">
        <x:v>Tennessee</x:v>
      </x:c>
      <x:c r="C30" s="31" t="str">
        <x:v>JQH-L260804-TSA8</x:v>
      </x:c>
      <x:c r="D30" s="42" t="str">
        <x:v>Hatyai Crispy Chicken Noodles</x:v>
      </x:c>
      <x:c r="E30" s="36" t="n">
        <x:f>IFERROR('Source Data'!C30/'Source Data'!D30,0)</x:f>
        <x:v>9.5</x:v>
      </x:c>
      <x:c r="F30" s="44" t="n">
        <x:v>3</x:v>
      </x:c>
    </x:row>
    <x:row r="31">
      <x:c r="A31" s="34" t="n">
        <x:v>46238.5</x:v>
      </x:c>
      <x:c r="B31" s="31" t="str">
        <x:v>Tennessee</x:v>
      </x:c>
      <x:c r="C31" s="31" t="str">
        <x:v>JQH-L260804-TSA8</x:v>
      </x:c>
      <x:c r="D31" s="42" t="str">
        <x:v>Charcoal-Grilled BBQ Chicken Salad</x:v>
      </x:c>
      <x:c r="E31" s="36" t="n">
        <x:f>IFERROR('Source Data'!C31/'Source Data'!D31,0)</x:f>
        <x:v>9.5</x:v>
      </x:c>
      <x:c r="F31" s="44" t="n">
        <x:v>4</x:v>
      </x:c>
    </x:row>
    <x:row r="32">
      <x:c r="A32" s="34" t="n">
        <x:v>46238.5</x:v>
      </x:c>
      <x:c r="B32" s="31" t="str">
        <x:v>Tennessee</x:v>
      </x:c>
      <x:c r="C32" s="31" t="str">
        <x:v>JQH-L260804-TSA8</x:v>
      </x:c>
      <x:c r="D32" s="42" t="str">
        <x:v>Green Curry Hatyai Crispy Chicken Rice</x:v>
      </x:c>
      <x:c r="E32" s="36" t="n">
        <x:f>IFERROR('Source Data'!C32/'Source Data'!D32,0)</x:f>
        <x:v>9.75</x:v>
      </x:c>
      <x:c r="F32" s="44" t="n">
        <x:v>2</x:v>
      </x:c>
    </x:row>
    <x:row r="33">
      <x:c r="A33" s="34" t="n">
        <x:v>46238.5</x:v>
      </x:c>
      <x:c r="B33" s="31" t="str">
        <x:v>Tennessee</x:v>
      </x:c>
      <x:c r="C33" s="31" t="str">
        <x:v>JQH-L260804-TSA8</x:v>
      </x:c>
      <x:c r="D33" s="42" t="str">
        <x:v>Shredded Chicken Noodles</x:v>
      </x:c>
      <x:c r="E33" s="36" t="n">
        <x:f>IFERROR('Source Data'!C33/'Source Data'!D33,0)</x:f>
        <x:v>8.25</x:v>
      </x:c>
      <x:c r="F33" s="44" t="n">
        <x:v>4</x:v>
      </x:c>
    </x:row>
    <x:row r="34">
      <x:c r="A34" s="34" t="n">
        <x:v>46238.5</x:v>
      </x:c>
      <x:c r="B34" s="31" t="str">
        <x:v>Tennessee</x:v>
      </x:c>
      <x:c r="C34" s="31" t="str">
        <x:v>JQH-L260804-TSA8</x:v>
      </x:c>
      <x:c r="D34" s="42" t="str">
        <x:v>Charcoal-Grilled BBQ Chicken Noodles</x:v>
      </x:c>
      <x:c r="E34" s="36" t="n">
        <x:f>IFERROR('Source Data'!C34/'Source Data'!D34,0)</x:f>
        <x:v>9.5</x:v>
      </x:c>
      <x:c r="F34" s="44" t="n">
        <x:v>5</x:v>
      </x:c>
    </x:row>
    <x:row r="35">
      <x:c r="A35" s="34" t="n">
        <x:v>46238.5</x:v>
      </x:c>
      <x:c r="B35" s="31" t="str">
        <x:v>Tennessee</x:v>
      </x:c>
      <x:c r="C35" s="31" t="str">
        <x:v>JQH-L260804-TSA8</x:v>
      </x:c>
      <x:c r="D35" s="42" t="str">
        <x:v>Green Curry Charcoal-Grilled BBQ Chicken Rice</x:v>
      </x:c>
      <x:c r="E35" s="36" t="n">
        <x:f>IFERROR('Source Data'!C35/'Source Data'!D35,0)</x:f>
        <x:v>9.75</x:v>
      </x:c>
      <x:c r="F35" s="44" t="n">
        <x:v>3</x:v>
      </x:c>
    </x:row>
    <x:row r="36">
      <x:c r="A36" s="34" t="n">
        <x:v>46238.5</x:v>
      </x:c>
      <x:c r="B36" s="31" t="str">
        <x:v>Tennessee</x:v>
      </x:c>
      <x:c r="C36" s="31" t="str">
        <x:v>JQH-L260804-TSA8</x:v>
      </x:c>
      <x:c r="D36" s="42" t="str">
        <x:v>Charcoal-Grilled BBQ Chicken Rice</x:v>
      </x:c>
      <x:c r="E36" s="36" t="n">
        <x:f>IFERROR('Source Data'!C36/'Source Data'!D36,0)</x:f>
        <x:v>9.5</x:v>
      </x:c>
      <x:c r="F36" s="44" t="n">
        <x:v>4</x:v>
      </x:c>
    </x:row>
    <x:row r="37">
      <x:c r="A37" s="34" t="n">
        <x:v>46238.5</x:v>
      </x:c>
      <x:c r="B37" s="31" t="str">
        <x:v>Tennessee</x:v>
      </x:c>
      <x:c r="C37" s="31" t="str">
        <x:v>JQH-L260804-TSA8</x:v>
      </x:c>
      <x:c r="D37" s="42" t="str">
        <x:v>Bangkok Pepper Tofu Noodles</x:v>
      </x:c>
      <x:c r="E37" s="36" t="n">
        <x:f>IFERROR('Source Data'!C37/'Source Data'!D37,0)</x:f>
        <x:v>8.25</x:v>
      </x:c>
      <x:c r="F37" s="44" t="n">
        <x:v>1</x:v>
      </x:c>
    </x:row>
    <x:row r="38">
      <x:c r="A38" s="34" t="n">
        <x:v>46238.5</x:v>
      </x:c>
      <x:c r="B38" s="31" t="str">
        <x:v>Tennessee</x:v>
      </x:c>
      <x:c r="C38" s="31" t="str">
        <x:v>PIJ-L260804-DJRZ</x:v>
      </x:c>
      <x:c r="D38" s="42" t="str">
        <x:v>Charcoal-Grilled BBQ Chicken Noodles</x:v>
      </x:c>
      <x:c r="E38" s="36" t="n">
        <x:f>IFERROR('Source Data'!C38/'Source Data'!D38,0)</x:f>
        <x:v>9.5</x:v>
      </x:c>
      <x:c r="F38" s="44" t="n">
        <x:v>3</x:v>
      </x:c>
    </x:row>
    <x:row r="39">
      <x:c r="A39" s="34" t="n">
        <x:v>46238.5</x:v>
      </x:c>
      <x:c r="B39" s="31" t="str">
        <x:v>Tennessee</x:v>
      </x:c>
      <x:c r="C39" s="31" t="str">
        <x:v>PIJ-L260804-DJRZ</x:v>
      </x:c>
      <x:c r="D39" s="42" t="str">
        <x:v>Hatyai Crispy Chicken Noodles</x:v>
      </x:c>
      <x:c r="E39" s="36" t="n">
        <x:f>IFERROR('Source Data'!C39/'Source Data'!D39,0)</x:f>
        <x:v>9.5</x:v>
      </x:c>
      <x:c r="F39" s="44" t="n">
        <x:v>1</x:v>
      </x:c>
    </x:row>
    <x:row r="40">
      <x:c r="A40" s="34" t="n">
        <x:v>46238.5</x:v>
      </x:c>
      <x:c r="B40" s="31" t="str">
        <x:v>Tennessee</x:v>
      </x:c>
      <x:c r="C40" s="31" t="str">
        <x:v>PIJ-L260804-DJRZ</x:v>
      </x:c>
      <x:c r="D40" s="42" t="str">
        <x:v>Charcoal-Grilled BBQ Chicken Salad</x:v>
      </x:c>
      <x:c r="E40" s="36" t="n">
        <x:f>IFERROR('Source Data'!C40/'Source Data'!D40,0)</x:f>
        <x:v>9.5</x:v>
      </x:c>
      <x:c r="F40" s="44" t="n">
        <x:v>3</x:v>
      </x:c>
    </x:row>
    <x:row r="41">
      <x:c r="A41" s="34" t="n">
        <x:v>46238.5</x:v>
      </x:c>
      <x:c r="B41" s="31" t="str">
        <x:v>Tennessee</x:v>
      </x:c>
      <x:c r="C41" s="31" t="str">
        <x:v>PIJ-L260804-DJRZ</x:v>
      </x:c>
      <x:c r="D41" s="42" t="str">
        <x:v>Shredded Chicken Noodles</x:v>
      </x:c>
      <x:c r="E41" s="36" t="n">
        <x:f>IFERROR('Source Data'!C41/'Source Data'!D41,0)</x:f>
        <x:v>8.25</x:v>
      </x:c>
      <x:c r="F41" s="44" t="n">
        <x:v>3</x:v>
      </x:c>
    </x:row>
    <x:row r="42">
      <x:c r="A42" s="34" t="n">
        <x:v>46238.5</x:v>
      </x:c>
      <x:c r="B42" s="31" t="str">
        <x:v>Tennessee</x:v>
      </x:c>
      <x:c r="C42" s="31" t="str">
        <x:v>PIJ-L260804-DJRZ</x:v>
      </x:c>
      <x:c r="D42" s="42" t="str">
        <x:v>Hatyai Crispy Chicken Salad with Side</x:v>
      </x:c>
      <x:c r="E42" s="36" t="n">
        <x:f>IFERROR('Source Data'!C42/'Source Data'!D42,0)</x:f>
        <x:v>9.5</x:v>
      </x:c>
      <x:c r="F42" s="44" t="n">
        <x:v>1</x:v>
      </x:c>
    </x:row>
    <x:row r="43">
      <x:c r="A43" s="34" t="n">
        <x:v>46238.5</x:v>
      </x:c>
      <x:c r="B43" s="31" t="str">
        <x:v>Tennessee</x:v>
      </x:c>
      <x:c r="C43" s="31" t="str">
        <x:v>PIJ-L260804-DJRZ</x:v>
      </x:c>
      <x:c r="D43" s="42" t="str">
        <x:v>Hatyai Crispy Chicken Salad with Side</x:v>
      </x:c>
      <x:c r="E43" s="36" t="n">
        <x:f>IFERROR('Source Data'!C43/'Source Data'!D43,0)</x:f>
        <x:v>9.5</x:v>
      </x:c>
      <x:c r="F43" s="44" t="n">
        <x:v>1</x:v>
      </x:c>
    </x:row>
    <x:row r="44">
      <x:c r="A44" s="34" t="n">
        <x:v>46238.5</x:v>
      </x:c>
      <x:c r="B44" s="31" t="str">
        <x:v>Tennessee</x:v>
      </x:c>
      <x:c r="C44" s="31" t="str">
        <x:v>PIJ-L260804-DJRZ</x:v>
      </x:c>
      <x:c r="D44" s="42" t="str">
        <x:v>Shredded Chicken Salad</x:v>
      </x:c>
      <x:c r="E44" s="36" t="n">
        <x:f>IFERROR('Source Data'!C44/'Source Data'!D44,0)</x:f>
        <x:v>8.75</x:v>
      </x:c>
      <x:c r="F44" s="44" t="n">
        <x:v>2</x:v>
      </x:c>
    </x:row>
    <x:row r="45">
      <x:c r="A45" s="34" t="n">
        <x:v>46238.5</x:v>
      </x:c>
      <x:c r="B45" s="31" t="str">
        <x:v>Tennessee</x:v>
      </x:c>
      <x:c r="C45" s="31" t="str">
        <x:v>PIJ-L260804-DJRZ</x:v>
      </x:c>
      <x:c r="D45" s="42" t="str">
        <x:v>Charcoal-Grilled BBQ Chicken Rice</x:v>
      </x:c>
      <x:c r="E45" s="36" t="n">
        <x:f>IFERROR('Source Data'!C45/'Source Data'!D45,0)</x:f>
        <x:v>9.5</x:v>
      </x:c>
      <x:c r="F45" s="44" t="n">
        <x:v>1</x:v>
      </x:c>
    </x:row>
    <x:row r="46">
      <x:c r="A46" s="34" t="n">
        <x:v>46238.5</x:v>
      </x:c>
      <x:c r="B46" s="31" t="str">
        <x:v>Tennessee</x:v>
      </x:c>
      <x:c r="C46" s="31" t="str">
        <x:v>PIJ-L260804-DJRZ</x:v>
      </x:c>
      <x:c r="D46" s="42" t="str">
        <x:v>Green Curry Hatyai Crispy Chicken Rice</x:v>
      </x:c>
      <x:c r="E46" s="36" t="n">
        <x:f>IFERROR('Source Data'!C46/'Source Data'!D46,0)</x:f>
        <x:v>9.75</x:v>
      </x:c>
      <x:c r="F46" s="44" t="n">
        <x:v>1</x:v>
      </x:c>
    </x:row>
    <x:row r="47">
      <x:c r="A47" s="34" t="n">
        <x:v>46238.5</x:v>
      </x:c>
      <x:c r="B47" s="31" t="str">
        <x:v>Tennessee</x:v>
      </x:c>
      <x:c r="C47" s="31" t="str">
        <x:v>PIJ-L260804-DJRZ</x:v>
      </x:c>
      <x:c r="D47" s="42" t="str">
        <x:v>Hatyai Crispy Chicken Rice</x:v>
      </x:c>
      <x:c r="E47" s="36" t="n">
        <x:f>IFERROR('Source Data'!C47/'Source Data'!D47,0)</x:f>
        <x:v>9.5</x:v>
      </x:c>
      <x:c r="F47" s="44" t="n">
        <x:v>1</x:v>
      </x:c>
    </x:row>
    <x:row r="48">
      <x:c r="A48" s="34" t="n">
        <x:v>46238.5</x:v>
      </x:c>
      <x:c r="B48" s="31" t="str">
        <x:v>Tennessee</x:v>
      </x:c>
      <x:c r="C48" s="31" t="str">
        <x:v>PIJ-L260804-DJRZ</x:v>
      </x:c>
      <x:c r="D48" s="42" t="str">
        <x:v>Bangkok Pepper Tofu with Herb-Infused Noodle</x:v>
      </x:c>
      <x:c r="E48" s="36" t="n">
        <x:f>IFERROR('Source Data'!C48/'Source Data'!D48,0)</x:f>
        <x:v>8.25</x:v>
      </x:c>
      <x:c r="F48" s="44" t="n">
        <x:v>1</x:v>
      </x:c>
    </x:row>
    <x:row r="49">
      <x:c r="A49" s="34" t="n">
        <x:v>46238.5</x:v>
      </x:c>
      <x:c r="B49" s="31" t="str">
        <x:v>Tennessee</x:v>
      </x:c>
      <x:c r="C49" s="31" t="str">
        <x:v>PIJ-L260804-DJRZ</x:v>
      </x:c>
      <x:c r="D49" s="42" t="str">
        <x:v>Green Curry Charcoal-Grilled BBQ Chicken Rice</x:v>
      </x:c>
      <x:c r="E49" s="36" t="n">
        <x:f>IFERROR('Source Data'!C49/'Source Data'!D49,0)</x:f>
        <x:v>9.75</x:v>
      </x:c>
      <x:c r="F49" s="44" t="n">
        <x:v>1</x:v>
      </x:c>
    </x:row>
    <x:row r="50">
      <x:c r="A50" s="34" t="n">
        <x:v>46239.5</x:v>
      </x:c>
      <x:c r="B50" s="31" t="str">
        <x:v>Tennessee</x:v>
      </x:c>
      <x:c r="C50" s="31" t="str">
        <x:v>VUD-L260805-UOB6</x:v>
      </x:c>
      <x:c r="D50" s="42" t="str">
        <x:v>Bangkok Pepper Tofu with Garlic Rice</x:v>
      </x:c>
      <x:c r="E50" s="36" t="n">
        <x:f>IFERROR('Source Data'!C50/'Source Data'!D50,0)</x:f>
        <x:v>7.25</x:v>
      </x:c>
      <x:c r="F50" s="44" t="n">
        <x:v>4</x:v>
      </x:c>
    </x:row>
    <x:row r="51">
      <x:c r="A51" s="34" t="n">
        <x:v>46239.5</x:v>
      </x:c>
      <x:c r="B51" s="31" t="str">
        <x:v>Tennessee</x:v>
      </x:c>
      <x:c r="C51" s="31" t="str">
        <x:v>VUD-L260805-UOB6</x:v>
      </x:c>
      <x:c r="D51" s="42" t="str">
        <x:v>Charcoal-Grilled BBQ Chicken Rice</x:v>
      </x:c>
      <x:c r="E51" s="36" t="n">
        <x:f>IFERROR('Source Data'!C51/'Source Data'!D51,0)</x:f>
        <x:v>9.5</x:v>
      </x:c>
      <x:c r="F51" s="44" t="n">
        <x:v>8</x:v>
      </x:c>
    </x:row>
    <x:row r="52">
      <x:c r="A52" s="34" t="n">
        <x:v>46239.5</x:v>
      </x:c>
      <x:c r="B52" s="31" t="str">
        <x:v>Tennessee</x:v>
      </x:c>
      <x:c r="C52" s="31" t="str">
        <x:v>VUD-L260805-UOB6</x:v>
      </x:c>
      <x:c r="D52" s="42" t="str">
        <x:v>Green Curry Charcoal-Grilled BBQ Chicken Rice</x:v>
      </x:c>
      <x:c r="E52" s="36" t="n">
        <x:f>IFERROR('Source Data'!C52/'Source Data'!D52,0)</x:f>
        <x:v>9.75</x:v>
      </x:c>
      <x:c r="F52" s="44" t="n">
        <x:v>8</x:v>
      </x:c>
    </x:row>
    <x:row r="53">
      <x:c r="A53" s="34" t="n">
        <x:v>46239.5</x:v>
      </x:c>
      <x:c r="B53" s="31" t="str">
        <x:v>Tennessee</x:v>
      </x:c>
      <x:c r="C53" s="31" t="str">
        <x:v>VUD-L260805-UOB6</x:v>
      </x:c>
      <x:c r="D53" s="42" t="str">
        <x:v>Hatyai Crispy Chicken Rice</x:v>
      </x:c>
      <x:c r="E53" s="36" t="n">
        <x:f>IFERROR('Source Data'!C53/'Source Data'!D53,0)</x:f>
        <x:v>9.5</x:v>
      </x:c>
      <x:c r="F53" s="44" t="n">
        <x:v>8</x:v>
      </x:c>
    </x:row>
    <x:row r="54">
      <x:c r="A54" s="34" t="n">
        <x:v>46239.5</x:v>
      </x:c>
      <x:c r="B54" s="31" t="str">
        <x:v>Geary</x:v>
      </x:c>
      <x:c r="C54" s="31" t="str">
        <x:v>JQH-D260805-TSA8</x:v>
      </x:c>
      <x:c r="D54" s="42" t="str">
        <x:v>Hatyai Crispy Chicken Noodles</x:v>
      </x:c>
      <x:c r="E54" s="36" t="n">
        <x:f>IFERROR('Source Data'!C54/'Source Data'!D54,0)</x:f>
        <x:v>9.5</x:v>
      </x:c>
      <x:c r="F54" s="44" t="n">
        <x:v>2</x:v>
      </x:c>
    </x:row>
    <x:row r="55">
      <x:c r="A55" s="34" t="n">
        <x:v>46239.5</x:v>
      </x:c>
      <x:c r="B55" s="31" t="str">
        <x:v>Geary</x:v>
      </x:c>
      <x:c r="C55" s="31" t="str">
        <x:v>JQH-D260805-TSA8</x:v>
      </x:c>
      <x:c r="D55" s="42" t="str">
        <x:v>Charcoal-Grilled BBQ Chicken Rice</x:v>
      </x:c>
      <x:c r="E55" s="36" t="n">
        <x:f>IFERROR('Source Data'!C55/'Source Data'!D55,0)</x:f>
        <x:v>9.5</x:v>
      </x:c>
      <x:c r="F55" s="44" t="n">
        <x:v>1</x:v>
      </x:c>
    </x:row>
    <x:row r="56">
      <x:c r="A56" s="34" t="n">
        <x:v>46239.5</x:v>
      </x:c>
      <x:c r="B56" s="31" t="str">
        <x:v>Geary</x:v>
      </x:c>
      <x:c r="C56" s="31" t="str">
        <x:v>JQH-D260805-TSA8</x:v>
      </x:c>
      <x:c r="D56" s="42" t="str">
        <x:v>Shredded Chicken Noodles</x:v>
      </x:c>
      <x:c r="E56" s="36" t="n">
        <x:f>IFERROR('Source Data'!C56/'Source Data'!D56,0)</x:f>
        <x:v>8.25</x:v>
      </x:c>
      <x:c r="F56" s="44" t="n">
        <x:v>1</x:v>
      </x:c>
    </x:row>
    <x:row r="57">
      <x:c r="A57" s="34" t="n">
        <x:v>46240.5</x:v>
      </x:c>
      <x:c r="B57" s="31" t="str">
        <x:v>Tennessee</x:v>
      </x:c>
      <x:c r="C57" s="31" t="str">
        <x:v>TGI-L260806-K80P</x:v>
      </x:c>
      <x:c r="D57" s="42" t="str">
        <x:v>Green Curry Charcoal-Grilled BBQ Chicken Rice</x:v>
      </x:c>
      <x:c r="E57" s="36" t="n">
        <x:f>IFERROR('Source Data'!C57/'Source Data'!D57,0)</x:f>
        <x:v>9.75</x:v>
      </x:c>
      <x:c r="F57" s="44" t="n">
        <x:v>1</x:v>
      </x:c>
    </x:row>
    <x:row r="58">
      <x:c r="A58" s="34" t="n">
        <x:v>46240.5</x:v>
      </x:c>
      <x:c r="B58" s="31" t="str">
        <x:v>Tennessee</x:v>
      </x:c>
      <x:c r="C58" s="31" t="str">
        <x:v>TGI-L260806-K80P</x:v>
      </x:c>
      <x:c r="D58" s="42" t="str">
        <x:v>Hatyai Crispy Chicken Noodles</x:v>
      </x:c>
      <x:c r="E58" s="36" t="n">
        <x:f>IFERROR('Source Data'!C58/'Source Data'!D58,0)</x:f>
        <x:v>9.5</x:v>
      </x:c>
      <x:c r="F58" s="44" t="n">
        <x:v>1</x:v>
      </x:c>
    </x:row>
    <x:row r="59">
      <x:c r="A59" s="34" t="n">
        <x:v>46240.5</x:v>
      </x:c>
      <x:c r="B59" s="31" t="str">
        <x:v>Tennessee</x:v>
      </x:c>
      <x:c r="C59" s="31" t="str">
        <x:v>TGI-L260806-K80P</x:v>
      </x:c>
      <x:c r="D59" s="42" t="str">
        <x:v>Shredded Chicken Noodles</x:v>
      </x:c>
      <x:c r="E59" s="36" t="n">
        <x:f>IFERROR('Source Data'!C59/'Source Data'!D59,0)</x:f>
        <x:v>8.25</x:v>
      </x:c>
      <x:c r="F59" s="44" t="n">
        <x:v>1</x:v>
      </x:c>
    </x:row>
    <x:row r="60">
      <x:c r="A60" s="34" t="n">
        <x:v>46240.5</x:v>
      </x:c>
      <x:c r="B60" s="31" t="str">
        <x:v>Tennessee</x:v>
      </x:c>
      <x:c r="C60" s="31" t="str">
        <x:v>TIS-L260806-F1ZL</x:v>
      </x:c>
      <x:c r="D60" s="42" t="str">
        <x:v>Hatyai Crispy Chicken Rice</x:v>
      </x:c>
      <x:c r="E60" s="36" t="n">
        <x:f>IFERROR('Source Data'!C60/'Source Data'!D60,0)</x:f>
        <x:v>9.5</x:v>
      </x:c>
      <x:c r="F60" s="44" t="n">
        <x:v>1</x:v>
      </x:c>
    </x:row>
    <x:row r="61">
      <x:c r="A61" s="34" t="n">
        <x:v>46240.5</x:v>
      </x:c>
      <x:c r="B61" s="31" t="str">
        <x:v>Tennessee</x:v>
      </x:c>
      <x:c r="C61" s="31" t="str">
        <x:v>TIS-L260806-F1ZL</x:v>
      </x:c>
      <x:c r="D61" s="42" t="str">
        <x:v>Charcoal-Grilled BBQ Chicken Noodles</x:v>
      </x:c>
      <x:c r="E61" s="36" t="n">
        <x:f>IFERROR('Source Data'!C61/'Source Data'!D61,0)</x:f>
        <x:v>9.5</x:v>
      </x:c>
      <x:c r="F61" s="44" t="n">
        <x:v>1</x:v>
      </x:c>
    </x:row>
    <x:row r="62">
      <x:c r="A62" s="34" t="n">
        <x:v>46240.5</x:v>
      </x:c>
      <x:c r="B62" s="31" t="str">
        <x:v>Tennessee</x:v>
      </x:c>
      <x:c r="C62" s="31" t="str">
        <x:v>MSC-L260806-65N4</x:v>
      </x:c>
      <x:c r="D62" s="42" t="str">
        <x:v>Charcoal-Grilled BBQ Chicken Rice</x:v>
      </x:c>
      <x:c r="E62" s="36" t="n">
        <x:f>IFERROR('Source Data'!C62/'Source Data'!D62,0)</x:f>
        <x:v>9.5</x:v>
      </x:c>
      <x:c r="F62" s="44" t="n">
        <x:v>3</x:v>
      </x:c>
    </x:row>
    <x:row r="63">
      <x:c r="A63" s="34" t="n">
        <x:v>46240.5</x:v>
      </x:c>
      <x:c r="B63" s="31" t="str">
        <x:v>Tennessee</x:v>
      </x:c>
      <x:c r="C63" s="31" t="str">
        <x:v>MSC-L260806-65N4</x:v>
      </x:c>
      <x:c r="D63" s="42" t="str">
        <x:v>Charcoal-Grilled BBQ Chicken Rice</x:v>
      </x:c>
      <x:c r="E63" s="36" t="n">
        <x:f>IFERROR('Source Data'!C63/'Source Data'!D63,0)</x:f>
        <x:v>9.5</x:v>
      </x:c>
      <x:c r="F63" s="44" t="n">
        <x:v>1</x:v>
      </x:c>
    </x:row>
    <x:row r="64">
      <x:c r="A64" s="34" t="n">
        <x:v>46240.5</x:v>
      </x:c>
      <x:c r="B64" s="31" t="str">
        <x:v>Tennessee</x:v>
      </x:c>
      <x:c r="C64" s="31" t="str">
        <x:v>MSC-L260806-65N4</x:v>
      </x:c>
      <x:c r="D64" s="42" t="str">
        <x:v>Shredded Chicken Noodles</x:v>
      </x:c>
      <x:c r="E64" s="36" t="n">
        <x:f>IFERROR('Source Data'!C64/'Source Data'!D64,0)</x:f>
        <x:v>8.25</x:v>
      </x:c>
      <x:c r="F64" s="44" t="n">
        <x:v>3</x:v>
      </x:c>
    </x:row>
    <x:row r="65">
      <x:c r="A65" s="34" t="n">
        <x:v>46240.5</x:v>
      </x:c>
      <x:c r="B65" s="31" t="str">
        <x:v>Tennessee</x:v>
      </x:c>
      <x:c r="C65" s="31" t="str">
        <x:v>MSC-L260806-65N4</x:v>
      </x:c>
      <x:c r="D65" s="42" t="str">
        <x:v>Green Curry Charcoal-Grilled BBQ Chicken Rice</x:v>
      </x:c>
      <x:c r="E65" s="36" t="n">
        <x:f>IFERROR('Source Data'!C65/'Source Data'!D65,0)</x:f>
        <x:v>9.75</x:v>
      </x:c>
      <x:c r="F65" s="44" t="n">
        <x:v>3</x:v>
      </x:c>
    </x:row>
    <x:row r="66">
      <x:c r="A66" s="34" t="n">
        <x:v>46240.5</x:v>
      </x:c>
      <x:c r="B66" s="31" t="str">
        <x:v>Tennessee</x:v>
      </x:c>
      <x:c r="C66" s="31" t="str">
        <x:v>MSC-L260806-65N4</x:v>
      </x:c>
      <x:c r="D66" s="42" t="str">
        <x:v>Charcoal-Grilled BBQ Chicken Noodles</x:v>
      </x:c>
      <x:c r="E66" s="36" t="n">
        <x:f>IFERROR('Source Data'!C66/'Source Data'!D66,0)</x:f>
        <x:v>9.5</x:v>
      </x:c>
      <x:c r="F66" s="44" t="n">
        <x:v>6</x:v>
      </x:c>
    </x:row>
    <x:row r="67">
      <x:c r="A67" s="34" t="n">
        <x:v>46240.5</x:v>
      </x:c>
      <x:c r="B67" s="31" t="str">
        <x:v>Tennessee</x:v>
      </x:c>
      <x:c r="C67" s="31" t="str">
        <x:v>MSC-L260806-65N4</x:v>
      </x:c>
      <x:c r="D67" s="42" t="str">
        <x:v>Shredded Chicken Salad</x:v>
      </x:c>
      <x:c r="E67" s="36" t="n">
        <x:f>IFERROR('Source Data'!C67/'Source Data'!D67,0)</x:f>
        <x:v>8.75</x:v>
      </x:c>
      <x:c r="F67" s="44" t="n">
        <x:v>2</x:v>
      </x:c>
    </x:row>
    <x:row r="68">
      <x:c r="A68" s="34" t="n">
        <x:v>46240.5</x:v>
      </x:c>
      <x:c r="B68" s="31" t="str">
        <x:v>Tennessee</x:v>
      </x:c>
      <x:c r="C68" s="31" t="str">
        <x:v>MSC-L260806-65N4</x:v>
      </x:c>
      <x:c r="D68" s="42" t="str">
        <x:v>Green Curry Hatyai Crispy Chicken Rice</x:v>
      </x:c>
      <x:c r="E68" s="36" t="n">
        <x:f>IFERROR('Source Data'!C68/'Source Data'!D68,0)</x:f>
        <x:v>9.75</x:v>
      </x:c>
      <x:c r="F68" s="44" t="n">
        <x:v>1</x:v>
      </x:c>
    </x:row>
    <x:row r="69">
      <x:c r="A69" s="34" t="n">
        <x:v>46240.5</x:v>
      </x:c>
      <x:c r="B69" s="31" t="str">
        <x:v>Tennessee</x:v>
      </x:c>
      <x:c r="C69" s="31" t="str">
        <x:v>MSC-L260806-65N4</x:v>
      </x:c>
      <x:c r="D69" s="42" t="str">
        <x:v>Charcoal-Grilled BBQ Chicken Salad</x:v>
      </x:c>
      <x:c r="E69" s="36" t="n">
        <x:f>IFERROR('Source Data'!C69/'Source Data'!D69,0)</x:f>
        <x:v>9.5</x:v>
      </x:c>
      <x:c r="F69" s="44" t="n">
        <x:v>4</x:v>
      </x:c>
    </x:row>
    <x:row r="70">
      <x:c r="A70" s="34" t="n">
        <x:v>46240.5</x:v>
      </x:c>
      <x:c r="B70" s="31" t="str">
        <x:v>Tennessee</x:v>
      </x:c>
      <x:c r="C70" s="31" t="str">
        <x:v>MSC-L260806-65N4</x:v>
      </x:c>
      <x:c r="D70" s="42" t="str">
        <x:v>Hatyai Crispy Chicken Noodles</x:v>
      </x:c>
      <x:c r="E70" s="36" t="n">
        <x:f>IFERROR('Source Data'!C70/'Source Data'!D70,0)</x:f>
        <x:v>9.5</x:v>
      </x:c>
      <x:c r="F70" s="44" t="n">
        <x:v>5</x:v>
      </x:c>
    </x:row>
    <x:row r="71">
      <x:c r="A71" s="34" t="n">
        <x:v>46240.5</x:v>
      </x:c>
      <x:c r="B71" s="31" t="str">
        <x:v>Tennessee</x:v>
      </x:c>
      <x:c r="C71" s="31" t="str">
        <x:v>MSC-L260806-65N4</x:v>
      </x:c>
      <x:c r="D71" s="42" t="str">
        <x:v>Hatyai Crispy Chicken Salad with Side</x:v>
      </x:c>
      <x:c r="E71" s="36" t="n">
        <x:f>IFERROR('Source Data'!C71/'Source Data'!D71,0)</x:f>
        <x:v>9.5</x:v>
      </x:c>
      <x:c r="F71" s="44" t="n">
        <x:v>1</x:v>
      </x:c>
    </x:row>
    <x:row r="72">
      <x:c r="A72" s="34" t="n">
        <x:v>46240.5</x:v>
      </x:c>
      <x:c r="B72" s="31" t="str">
        <x:v>Tennessee</x:v>
      </x:c>
      <x:c r="C72" s="31" t="str">
        <x:v>MSC-L260806-65N4</x:v>
      </x:c>
      <x:c r="D72" s="42" t="str">
        <x:v>Green Curry Hatyai Crispy Chicken Rice</x:v>
      </x:c>
      <x:c r="E72" s="36" t="n">
        <x:f>IFERROR('Source Data'!C72/'Source Data'!D72,0)</x:f>
        <x:v>9.75</x:v>
      </x:c>
      <x:c r="F72" s="44" t="n">
        <x:v>2</x:v>
      </x:c>
    </x:row>
    <x:row r="73">
      <x:c r="A73" s="34" t="n">
        <x:v>46240.5</x:v>
      </x:c>
      <x:c r="B73" s="31" t="str">
        <x:v>Tennessee</x:v>
      </x:c>
      <x:c r="C73" s="31" t="str">
        <x:v>MSC-L260806-65N4</x:v>
      </x:c>
      <x:c r="D73" s="42" t="str">
        <x:v>Hatyai Crispy Chicken Rice</x:v>
      </x:c>
      <x:c r="E73" s="36" t="n">
        <x:f>IFERROR('Source Data'!C73/'Source Data'!D73,0)</x:f>
        <x:v>9.5</x:v>
      </x:c>
      <x:c r="F73" s="44" t="n">
        <x:v>1</x:v>
      </x:c>
    </x:row>
    <x:row r="74">
      <x:c r="A74" s="34" t="n">
        <x:v>46240.5</x:v>
      </x:c>
      <x:c r="B74" s="31" t="str">
        <x:v>Tennessee</x:v>
      </x:c>
      <x:c r="C74" s="31" t="str">
        <x:v>MSC-L260806-65N4</x:v>
      </x:c>
      <x:c r="D74" s="42" t="str">
        <x:v>Green Chili Mayo</x:v>
      </x:c>
      <x:c r="E74" s="36" t="n">
        <x:f>IFERROR('Source Data'!C74/'Source Data'!D74,0)</x:f>
        <x:v>0.75</x:v>
      </x:c>
      <x:c r="F74" s="44" t="n">
        <x:v>1</x:v>
      </x:c>
    </x:row>
    <x:row r="75">
      <x:c r="A75" s="34" t="n">
        <x:v>46240.5</x:v>
      </x:c>
      <x:c r="B75" s="31" t="str">
        <x:v>Tennessee</x:v>
      </x:c>
      <x:c r="C75" s="31" t="str">
        <x:v>MSC-L260806-65N4</x:v>
      </x:c>
      <x:c r="D75" s="42" t="str">
        <x:v>King Of Curry Mayo</x:v>
      </x:c>
      <x:c r="E75" s="36" t="n">
        <x:f>IFERROR('Source Data'!C75/'Source Data'!D75,0)</x:f>
        <x:v>0.75</x:v>
      </x:c>
      <x:c r="F75" s="44" t="n">
        <x:v>1</x:v>
      </x:c>
    </x:row>
    <x:row r="76">
      <x:c r="A76" s="34" t="n">
        <x:v>46240.5</x:v>
      </x:c>
      <x:c r="B76" s="31" t="str">
        <x:v>Tennessee</x:v>
      </x:c>
      <x:c r="C76" s="31" t="str">
        <x:v>MSC-L260806-65N4</x:v>
      </x:c>
      <x:c r="D76" s="42" t="str">
        <x:v>Bangkok Pepper Tofu (7 pieces)</x:v>
      </x:c>
      <x:c r="E76" s="36" t="n">
        <x:f>IFERROR('Source Data'!C76/'Source Data'!D76,0)</x:f>
        <x:v>4</x:v>
      </x:c>
      <x:c r="F76" s="44" t="n">
        <x:v>1</x:v>
      </x:c>
    </x:row>
    <x:row r="77">
      <x:c r="A77" s="34" t="n">
        <x:v>46240.5</x:v>
      </x:c>
      <x:c r="B77" s="31" t="str">
        <x:v>Tennessee</x:v>
      </x:c>
      <x:c r="C77" s="31" t="str">
        <x:v>YNI-L260806-I5CZ</x:v>
      </x:c>
      <x:c r="D77" s="42" t="str">
        <x:v>Green Curry Charcoal-Grilled BBQ Chicken Rice</x:v>
      </x:c>
      <x:c r="E77" s="36" t="n">
        <x:f>IFERROR('Source Data'!C77/'Source Data'!D77,0)</x:f>
        <x:v>9.75</x:v>
      </x:c>
      <x:c r="F77" s="44" t="n">
        <x:v>5</x:v>
      </x:c>
    </x:row>
    <x:row r="78">
      <x:c r="A78" s="34" t="n">
        <x:v>46240.5</x:v>
      </x:c>
      <x:c r="B78" s="31" t="str">
        <x:v>Tennessee</x:v>
      </x:c>
      <x:c r="C78" s="31" t="str">
        <x:v>YNI-L260806-I5CZ</x:v>
      </x:c>
      <x:c r="D78" s="42" t="str">
        <x:v>Shredded Chicken Noodles</x:v>
      </x:c>
      <x:c r="E78" s="36" t="n">
        <x:f>IFERROR('Source Data'!C78/'Source Data'!D78,0)</x:f>
        <x:v>8.25</x:v>
      </x:c>
      <x:c r="F78" s="44" t="n">
        <x:v>2</x:v>
      </x:c>
    </x:row>
    <x:row r="79">
      <x:c r="A79" s="34" t="n">
        <x:v>46240.5</x:v>
      </x:c>
      <x:c r="B79" s="31" t="str">
        <x:v>Tennessee</x:v>
      </x:c>
      <x:c r="C79" s="31" t="str">
        <x:v>YNI-L260806-I5CZ</x:v>
      </x:c>
      <x:c r="D79" s="42" t="str">
        <x:v>Green Curry Hatyai Crispy Chicken Rice</x:v>
      </x:c>
      <x:c r="E79" s="36" t="n">
        <x:f>IFERROR('Source Data'!C79/'Source Data'!D79,0)</x:f>
        <x:v>9.75</x:v>
      </x:c>
      <x:c r="F79" s="44" t="n">
        <x:v>4</x:v>
      </x:c>
    </x:row>
    <x:row r="80">
      <x:c r="A80" s="34" t="n">
        <x:v>46240.5</x:v>
      </x:c>
      <x:c r="B80" s="31" t="str">
        <x:v>Tennessee</x:v>
      </x:c>
      <x:c r="C80" s="31" t="str">
        <x:v>YNI-L260806-I5CZ</x:v>
      </x:c>
      <x:c r="D80" s="42" t="str">
        <x:v>Green Curry Hatyai Crispy Chicken Rice</x:v>
      </x:c>
      <x:c r="E80" s="36" t="n">
        <x:f>IFERROR('Source Data'!C80/'Source Data'!D80,0)</x:f>
        <x:v>9.75</x:v>
      </x:c>
      <x:c r="F80" s="44" t="n">
        <x:v>1</x:v>
      </x:c>
    </x:row>
    <x:row r="81">
      <x:c r="A81" s="34" t="n">
        <x:v>46240.5</x:v>
      </x:c>
      <x:c r="B81" s="31" t="str">
        <x:v>Tennessee</x:v>
      </x:c>
      <x:c r="C81" s="31" t="str">
        <x:v>YNI-L260806-I5CZ</x:v>
      </x:c>
      <x:c r="D81" s="42" t="str">
        <x:v>Hatyai Crispy Chicken Noodles</x:v>
      </x:c>
      <x:c r="E81" s="36" t="n">
        <x:f>IFERROR('Source Data'!C81/'Source Data'!D81,0)</x:f>
        <x:v>9.5</x:v>
      </x:c>
      <x:c r="F81" s="44" t="n">
        <x:v>1</x:v>
      </x:c>
    </x:row>
    <x:row r="82">
      <x:c r="A82" s="34" t="n">
        <x:v>46240.5</x:v>
      </x:c>
      <x:c r="B82" s="31" t="str">
        <x:v>Tennessee</x:v>
      </x:c>
      <x:c r="C82" s="31" t="str">
        <x:v>YNI-L260806-I5CZ</x:v>
      </x:c>
      <x:c r="D82" s="42" t="str">
        <x:v>Charcoal-Grilled BBQ Chicken Salad</x:v>
      </x:c>
      <x:c r="E82" s="36" t="n">
        <x:f>IFERROR('Source Data'!C82/'Source Data'!D82,0)</x:f>
        <x:v>9.5</x:v>
      </x:c>
      <x:c r="F82" s="44" t="n">
        <x:v>2</x:v>
      </x:c>
    </x:row>
    <x:row r="83">
      <x:c r="A83" s="34" t="n">
        <x:v>46240.5</x:v>
      </x:c>
      <x:c r="B83" s="31" t="str">
        <x:v>Tennessee</x:v>
      </x:c>
      <x:c r="C83" s="31" t="str">
        <x:v>YNI-L260806-I5CZ</x:v>
      </x:c>
      <x:c r="D83" s="42" t="str">
        <x:v>Charcoal-Grilled BBQ Chicken Noodles</x:v>
      </x:c>
      <x:c r="E83" s="36" t="n">
        <x:f>IFERROR('Source Data'!C83/'Source Data'!D83,0)</x:f>
        <x:v>9.5</x:v>
      </x:c>
      <x:c r="F83" s="44" t="n">
        <x:v>2</x:v>
      </x:c>
    </x:row>
    <x:row r="84">
      <x:c r="A84" s="34" t="n">
        <x:v>46240.5</x:v>
      </x:c>
      <x:c r="B84" s="31" t="str">
        <x:v>Tennessee</x:v>
      </x:c>
      <x:c r="C84" s="31" t="str">
        <x:v>YNI-L260806-I5CZ</x:v>
      </x:c>
      <x:c r="D84" s="42" t="str">
        <x:v>Bangkok Pepper Tofu with Herb-Infused Noodle</x:v>
      </x:c>
      <x:c r="E84" s="36" t="n">
        <x:f>IFERROR('Source Data'!C84/'Source Data'!D84,0)</x:f>
        <x:v>8.25</x:v>
      </x:c>
      <x:c r="F84" s="44" t="n">
        <x:v>1</x:v>
      </x:c>
    </x:row>
    <x:row r="85">
      <x:c r="A85" s="34" t="n">
        <x:v>46240.5</x:v>
      </x:c>
      <x:c r="B85" s="31" t="str">
        <x:v>Tennessee</x:v>
      </x:c>
      <x:c r="C85" s="31" t="str">
        <x:v>YNI-L260806-I5CZ</x:v>
      </x:c>
      <x:c r="D85" s="42" t="str">
        <x:v>Charcoal-Grilled BBQ Chicken Rice</x:v>
      </x:c>
      <x:c r="E85" s="36" t="n">
        <x:f>IFERROR('Source Data'!C85/'Source Data'!D85,0)</x:f>
        <x:v>9.5</x:v>
      </x:c>
      <x:c r="F85" s="44" t="n">
        <x:v>1</x:v>
      </x:c>
    </x:row>
    <x:row r="86">
      <x:c r="A86" s="34" t="n">
        <x:v>46240.5</x:v>
      </x:c>
      <x:c r="B86" s="31" t="str">
        <x:v>Tennessee</x:v>
      </x:c>
      <x:c r="C86" s="31" t="str">
        <x:v>YNI-L260806-I5CZ</x:v>
      </x:c>
      <x:c r="D86" s="42" t="str">
        <x:v>Charcoal-Grilled BBQ Chicken Noodles</x:v>
      </x:c>
      <x:c r="E86" s="36" t="n">
        <x:f>IFERROR('Source Data'!C86/'Source Data'!D86,0)</x:f>
        <x:v>9.5</x:v>
      </x:c>
      <x:c r="F86" s="44" t="n">
        <x:v>1</x:v>
      </x:c>
    </x:row>
    <x:row r="87">
      <x:c r="A87" s="34" t="n">
        <x:v>46240.5</x:v>
      </x:c>
      <x:c r="B87" s="31" t="str">
        <x:v>Tennessee</x:v>
      </x:c>
      <x:c r="C87" s="31" t="str">
        <x:v>YNI-L260806-I5CZ</x:v>
      </x:c>
      <x:c r="D87" s="42" t="str">
        <x:v>Hatyai Crispy Chicken Salad with Side</x:v>
      </x:c>
      <x:c r="E87" s="36" t="n">
        <x:f>IFERROR('Source Data'!C87/'Source Data'!D87,0)</x:f>
        <x:v>9.5</x:v>
      </x:c>
      <x:c r="F87" s="44" t="n">
        <x:v>1</x:v>
      </x:c>
    </x:row>
    <x:row r="88">
      <x:c r="A88" s="34" t="n">
        <x:v>46240.5</x:v>
      </x:c>
      <x:c r="B88" s="31" t="str">
        <x:v>Tennessee</x:v>
      </x:c>
      <x:c r="C88" s="31" t="str">
        <x:v>YNI-L260806-I5CZ</x:v>
      </x:c>
      <x:c r="D88" s="42" t="str">
        <x:v>Gyoza with Thai Sweet Chili Sauce (4 pieces)</x:v>
      </x:c>
      <x:c r="E88" s="36" t="n">
        <x:f>IFERROR('Source Data'!C88/'Source Data'!D88,0)</x:f>
        <x:v>3</x:v>
      </x:c>
      <x:c r="F88" s="44" t="n">
        <x:v>1</x:v>
      </x:c>
    </x:row>
    <x:row r="89">
      <x:c r="A89" s="34" t="n">
        <x:v>46240.5</x:v>
      </x:c>
      <x:c r="B89" s="31" t="str">
        <x:v>Tennessee</x:v>
      </x:c>
      <x:c r="C89" s="31" t="str">
        <x:v>YNI-L260806-I5CZ</x:v>
      </x:c>
      <x:c r="D89" s="42" t="str">
        <x:v>Spring Roll with Thai Sweet Chilli Sauce (3 pieces)</x:v>
      </x:c>
      <x:c r="E89" s="36" t="n">
        <x:f>IFERROR('Source Data'!C89/'Source Data'!D89,0)</x:f>
        <x:v>3</x:v>
      </x:c>
      <x:c r="F89" s="44" t="n">
        <x:v>2</x:v>
      </x:c>
    </x:row>
    <x:row r="90">
      <x:c r="A90" s="34" t="n">
        <x:v>46240.5</x:v>
      </x:c>
      <x:c r="B90" s="31" t="str">
        <x:v>Tennessee</x:v>
      </x:c>
      <x:c r="C90" s="31" t="str">
        <x:v>YNI-L260806-I5CZ</x:v>
      </x:c>
      <x:c r="D90" s="42" t="str">
        <x:v>Green Chili Mayo</x:v>
      </x:c>
      <x:c r="E90" s="36" t="n">
        <x:f>IFERROR('Source Data'!C90/'Source Data'!D90,0)</x:f>
        <x:v>0.75</x:v>
      </x:c>
      <x:c r="F90" s="44" t="n">
        <x:v>1</x:v>
      </x:c>
    </x:row>
    <x:row r="91">
      <x:c r="A91" s="34" t="n">
        <x:v>46240.5</x:v>
      </x:c>
      <x:c r="B91" s="31" t="str">
        <x:v>Tennessee</x:v>
      </x:c>
      <x:c r="C91" s="31" t="str">
        <x:v>YNI-L260806-I5CZ</x:v>
      </x:c>
      <x:c r="D91" s="42" t="str">
        <x:v>Chili Jaew Sauce</x:v>
      </x:c>
      <x:c r="E91" s="36" t="n">
        <x:f>IFERROR('Source Data'!C91/'Source Data'!D91,0)</x:f>
        <x:v>0.75</x:v>
      </x:c>
      <x:c r="F91" s="44" t="n">
        <x:v>6</x:v>
      </x:c>
    </x:row>
    <x:row r="92">
      <x:c r="A92" s="34" t="n">
        <x:v>46240.5</x:v>
      </x:c>
      <x:c r="B92" s="31" t="str">
        <x:v>Tennessee</x:v>
      </x:c>
      <x:c r="C92" s="31" t="str">
        <x:v>YNI-L260806-I5CZ</x:v>
      </x:c>
      <x:c r="D92" s="42" t="str">
        <x:v>Spicy Grilled Pepper Sauce</x:v>
      </x:c>
      <x:c r="E92" s="36" t="n">
        <x:f>IFERROR('Source Data'!C92/'Source Data'!D92,0)</x:f>
        <x:v>0.75</x:v>
      </x:c>
      <x:c r="F92" s="44" t="n">
        <x:v>1</x:v>
      </x:c>
    </x:row>
    <x:row r="93">
      <x:c r="A93" s="34" t="n">
        <x:v>46240.5</x:v>
      </x:c>
      <x:c r="B93" s="31" t="str">
        <x:v>Tennessee</x:v>
      </x:c>
      <x:c r="C93" s="31" t="str">
        <x:v>YNI-L260806-I5CZ</x:v>
      </x:c>
      <x:c r="D93" s="42" t="str">
        <x:v>House Signature Sauce</x:v>
      </x:c>
      <x:c r="E93" s="36" t="n">
        <x:f>IFERROR('Source Data'!C93/'Source Data'!D93,0)</x:f>
        <x:v>0.75</x:v>
      </x:c>
      <x:c r="F93" s="44" t="n">
        <x:v>1</x:v>
      </x:c>
    </x:row>
    <x:row r="94">
      <x:c r="A94" s="34" t="n">
        <x:v>46240.5</x:v>
      </x:c>
      <x:c r="B94" s="31" t="str">
        <x:v>Tennessee</x:v>
      </x:c>
      <x:c r="C94" s="31" t="str">
        <x:v>JWL-L260806-XBFJ</x:v>
      </x:c>
      <x:c r="D94" s="42" t="str">
        <x:v>Bangkok Pepper Tofu with Herb-Infused Noodle</x:v>
      </x:c>
      <x:c r="E94" s="36" t="n">
        <x:f>IFERROR('Source Data'!C94/'Source Data'!D94,0)</x:f>
        <x:v>8.25</x:v>
      </x:c>
      <x:c r="F94" s="44" t="n">
        <x:v>2</x:v>
      </x:c>
    </x:row>
    <x:row r="95">
      <x:c r="A95" s="34" t="n">
        <x:v>46240.5</x:v>
      </x:c>
      <x:c r="B95" s="31" t="str">
        <x:v>Tennessee</x:v>
      </x:c>
      <x:c r="C95" s="31" t="str">
        <x:v>JWL-L260806-XBFJ</x:v>
      </x:c>
      <x:c r="D95" s="42" t="str">
        <x:v>Charcoal-Grilled BBQ Chicken Noodles</x:v>
      </x:c>
      <x:c r="E95" s="36" t="n">
        <x:f>IFERROR('Source Data'!C95/'Source Data'!D95,0)</x:f>
        <x:v>9.5</x:v>
      </x:c>
      <x:c r="F95" s="44" t="n">
        <x:v>1</x:v>
      </x:c>
    </x:row>
    <x:row r="96">
      <x:c r="A96" s="34" t="n">
        <x:v>46240.5</x:v>
      </x:c>
      <x:c r="B96" s="31" t="str">
        <x:v>Tennessee</x:v>
      </x:c>
      <x:c r="C96" s="31" t="str">
        <x:v>JWL-L260806-XBFJ</x:v>
      </x:c>
      <x:c r="D96" s="42" t="str">
        <x:v>Green Curry Hatyai Crispy Chicken Rice</x:v>
      </x:c>
      <x:c r="E96" s="36" t="n">
        <x:f>IFERROR('Source Data'!C96/'Source Data'!D96,0)</x:f>
        <x:v>9.75</x:v>
      </x:c>
      <x:c r="F96" s="44" t="n">
        <x:v>1</x:v>
      </x:c>
    </x:row>
    <x:row r="97">
      <x:c r="A97" s="34" t="n">
        <x:v>46240.5</x:v>
      </x:c>
      <x:c r="B97" s="31" t="str">
        <x:v>Tennessee</x:v>
      </x:c>
      <x:c r="C97" s="31" t="str">
        <x:v>JWL-L260806-XBFJ</x:v>
      </x:c>
      <x:c r="D97" s="42" t="str">
        <x:v>Charcoal-Grilled BBQ Chicken Rice</x:v>
      </x:c>
      <x:c r="E97" s="36" t="n">
        <x:f>IFERROR('Source Data'!C97/'Source Data'!D97,0)</x:f>
        <x:v>9.5</x:v>
      </x:c>
      <x:c r="F97" s="44" t="n">
        <x:v>1</x:v>
      </x:c>
    </x:row>
    <x:row r="98">
      <x:c r="A98" s="34" t="n">
        <x:v>46240.5</x:v>
      </x:c>
      <x:c r="B98" s="31" t="str">
        <x:v>Tennessee</x:v>
      </x:c>
      <x:c r="C98" s="31" t="str">
        <x:v>MHA-L260806-XKL3</x:v>
      </x:c>
      <x:c r="D98" s="42" t="str">
        <x:v>Rice (10 lbs) – Full Tray (Large standard depth tray size, Serves 20)</x:v>
      </x:c>
      <x:c r="E98" s="36" t="n">
        <x:f>IFERROR('Source Data'!C98/'Source Data'!D98,0)</x:f>
        <x:v>30</x:v>
      </x:c>
      <x:c r="F98" s="44" t="n">
        <x:v>1</x:v>
      </x:c>
    </x:row>
    <x:row r="99">
      <x:c r="A99" s="34" t="n">
        <x:v>46240.5</x:v>
      </x:c>
      <x:c r="B99" s="31" t="str">
        <x:v>Tennessee</x:v>
      </x:c>
      <x:c r="C99" s="31" t="str">
        <x:v>MHA-L260806-XKL3</x:v>
      </x:c>
      <x:c r="D99" s="42" t="str">
        <x:v>Salad Base (2.5 lbs) – Half Tray (Half standard depth tray size, Serves 10)</x:v>
      </x:c>
      <x:c r="E99" s="36" t="n">
        <x:f>IFERROR('Source Data'!C99/'Source Data'!D99,0)</x:f>
        <x:v>25</x:v>
      </x:c>
      <x:c r="F99" s="44" t="n">
        <x:v>1</x:v>
      </x:c>
    </x:row>
    <x:row r="100">
      <x:c r="A100" s="34" t="n">
        <x:v>46240.5</x:v>
      </x:c>
      <x:c r="B100" s="31" t="str">
        <x:v>Tennessee</x:v>
      </x:c>
      <x:c r="C100" s="31" t="str">
        <x:v>MHA-L260806-XKL3</x:v>
      </x:c>
      <x:c r="D100" s="42" t="str">
        <x:v>Noodles (5 lbs) – Half Tray (Half standard depth tray size, Serves 10)</x:v>
      </x:c>
      <x:c r="E100" s="36" t="n">
        <x:f>IFERROR('Source Data'!C100/'Source Data'!D100,0)</x:f>
        <x:v>25</x:v>
      </x:c>
      <x:c r="F100" s="44" t="n">
        <x:v>1</x:v>
      </x:c>
    </x:row>
    <x:row r="101">
      <x:c r="A101" s="34" t="n">
        <x:v>46240.5</x:v>
      </x:c>
      <x:c r="B101" s="31" t="str">
        <x:v>Tennessee</x:v>
      </x:c>
      <x:c r="C101" s="31" t="str">
        <x:v>MHA-L260806-XKL3</x:v>
      </x:c>
      <x:c r="D101" s="42" t="str">
        <x:v>Hatyai Crispy Chicken (5 lbs) – Half Tray (Half standard depth tray size, Serves 10)</x:v>
      </x:c>
      <x:c r="E101" s="36" t="n">
        <x:f>IFERROR('Source Data'!C101/'Source Data'!D101,0)</x:f>
        <x:v>50</x:v>
      </x:c>
      <x:c r="F101" s="44" t="n">
        <x:v>1</x:v>
      </x:c>
    </x:row>
    <x:row r="102">
      <x:c r="A102" s="34" t="n">
        <x:v>46240.5</x:v>
      </x:c>
      <x:c r="B102" s="31" t="str">
        <x:v>Tennessee</x:v>
      </x:c>
      <x:c r="C102" s="31" t="str">
        <x:v>MHA-L260806-XKL3</x:v>
      </x:c>
      <x:c r="D102" s="42" t="str">
        <x:v>Spicy Thai Basil Pork (5 Lbs) - Half Tray (Half standard depth tray size, Serves 10)</x:v>
      </x:c>
      <x:c r="E102" s="36" t="n">
        <x:f>IFERROR('Source Data'!C102/'Source Data'!D102,0)</x:f>
        <x:v>50</x:v>
      </x:c>
      <x:c r="F102" s="44" t="n">
        <x:v>1</x:v>
      </x:c>
    </x:row>
    <x:row r="103">
      <x:c r="A103" s="34" t="n">
        <x:v>46240.5</x:v>
      </x:c>
      <x:c r="B103" s="31" t="str">
        <x:v>Tennessee</x:v>
      </x:c>
      <x:c r="C103" s="31" t="str">
        <x:v>MHA-L260806-XKL3</x:v>
      </x:c>
      <x:c r="D103" s="42" t="str">
        <x:v>Charcoal-Grilled BBQ Chicken (5 lbs) – Half Tray (Half standard depth tray size, Serves 10)</x:v>
      </x:c>
      <x:c r="E103" s="36" t="n">
        <x:f>IFERROR('Source Data'!C103/'Source Data'!D103,0)</x:f>
        <x:v>50</x:v>
      </x:c>
      <x:c r="F103" s="44" t="n">
        <x:v>2</x:v>
      </x:c>
    </x:row>
    <x:row r="104">
      <x:c r="A104" s="34" t="n">
        <x:v>46240.5</x:v>
      </x:c>
      <x:c r="B104" s="31" t="str">
        <x:v>Tennessee</x:v>
      </x:c>
      <x:c r="C104" s="31" t="str">
        <x:v>ZLF-L260806-F0YV</x:v>
      </x:c>
      <x:c r="D104" s="42" t="str">
        <x:v>Charcoal-Grilled BBQ Chicken Rice</x:v>
      </x:c>
      <x:c r="E104" s="36" t="n">
        <x:f>IFERROR('Source Data'!C104/'Source Data'!D104,0)</x:f>
        <x:v>9.5</x:v>
      </x:c>
      <x:c r="F104" s="44" t="n">
        <x:v>2</x:v>
      </x:c>
    </x:row>
    <x:row r="105">
      <x:c r="A105" s="34" t="n">
        <x:v>46240.5</x:v>
      </x:c>
      <x:c r="B105" s="31" t="str">
        <x:v>Tennessee</x:v>
      </x:c>
      <x:c r="C105" s="31" t="str">
        <x:v>ZLF-L260806-F0YV</x:v>
      </x:c>
      <x:c r="D105" s="42" t="str">
        <x:v>Charcoal-Grilled BBQ Chicken Salad</x:v>
      </x:c>
      <x:c r="E105" s="36" t="n">
        <x:f>IFERROR('Source Data'!C105/'Source Data'!D105,0)</x:f>
        <x:v>9.5</x:v>
      </x:c>
      <x:c r="F105" s="44" t="n">
        <x:v>3</x:v>
      </x:c>
    </x:row>
    <x:row r="106">
      <x:c r="A106" s="34" t="n">
        <x:v>46240.5</x:v>
      </x:c>
      <x:c r="B106" s="31" t="str">
        <x:v>Tennessee</x:v>
      </x:c>
      <x:c r="C106" s="31" t="str">
        <x:v>ZLF-L260806-F0YV</x:v>
      </x:c>
      <x:c r="D106" s="42" t="str">
        <x:v>Bangkok Pepper Tofu with Garlic Rice</x:v>
      </x:c>
      <x:c r="E106" s="36" t="n">
        <x:f>IFERROR('Source Data'!C106/'Source Data'!D106,0)</x:f>
        <x:v>7.25</x:v>
      </x:c>
      <x:c r="F106" s="44" t="n">
        <x:v>1</x:v>
      </x:c>
    </x:row>
    <x:row r="107">
      <x:c r="A107" s="34" t="n">
        <x:v>46240.5</x:v>
      </x:c>
      <x:c r="B107" s="31" t="str">
        <x:v>Tennessee</x:v>
      </x:c>
      <x:c r="C107" s="31" t="str">
        <x:v>QTE-L260806-QB0A</x:v>
      </x:c>
      <x:c r="D107" s="42" t="str">
        <x:v>Hatyai Crispy Chicken (10 lbs) – Full Tray (Large standard depth tray size, Serves 20)</x:v>
      </x:c>
      <x:c r="E107" s="36" t="n">
        <x:f>IFERROR('Source Data'!C107/'Source Data'!D107,0)</x:f>
        <x:v>100</x:v>
      </x:c>
      <x:c r="F107" s="44" t="n">
        <x:v>1</x:v>
      </x:c>
    </x:row>
    <x:row r="108">
      <x:c r="A108" s="34" t="n">
        <x:v>46240.5</x:v>
      </x:c>
      <x:c r="B108" s="31" t="str">
        <x:v>Tennessee</x:v>
      </x:c>
      <x:c r="C108" s="31" t="str">
        <x:v>QTE-L260806-QB0A</x:v>
      </x:c>
      <x:c r="D108" s="42" t="str">
        <x:v>Bangkok Pepper Tofu – Half Tray (5 pounds, Serves 10)</x:v>
      </x:c>
      <x:c r="E108" s="36" t="n">
        <x:f>IFERROR('Source Data'!C108/'Source Data'!D108,0)</x:f>
        <x:v>70</x:v>
      </x:c>
      <x:c r="F108" s="44" t="n">
        <x:v>1</x:v>
      </x:c>
    </x:row>
    <x:row r="109">
      <x:c r="A109" s="34" t="n">
        <x:v>46240.5</x:v>
      </x:c>
      <x:c r="B109" s="31" t="str">
        <x:v>Tennessee</x:v>
      </x:c>
      <x:c r="C109" s="31" t="str">
        <x:v>QTE-L260806-QB0A</x:v>
      </x:c>
      <x:c r="D109" s="42" t="str">
        <x:v>Spicy Thai Basil Pork (5 Lbs) - Half Tray (Half standard depth tray size, Serves 10)</x:v>
      </x:c>
      <x:c r="E109" s="36" t="n">
        <x:f>IFERROR('Source Data'!C109/'Source Data'!D109,0)</x:f>
        <x:v>50</x:v>
      </x:c>
      <x:c r="F109" s="44" t="n">
        <x:v>2</x:v>
      </x:c>
    </x:row>
    <x:row r="110">
      <x:c r="A110" s="34" t="n">
        <x:v>46240.5</x:v>
      </x:c>
      <x:c r="B110" s="31" t="str">
        <x:v>Tennessee</x:v>
      </x:c>
      <x:c r="C110" s="31" t="str">
        <x:v>QTE-L260806-QB0A</x:v>
      </x:c>
      <x:c r="D110" s="42" t="str">
        <x:v>Salad Base (5 lbs) – Full Tray (Large standard depth tray size, Serves 20)</x:v>
      </x:c>
      <x:c r="E110" s="36" t="n">
        <x:f>IFERROR('Source Data'!C110/'Source Data'!D110,0)</x:f>
        <x:v>55</x:v>
      </x:c>
      <x:c r="F110" s="44" t="n">
        <x:v>1</x:v>
      </x:c>
    </x:row>
    <x:row r="111">
      <x:c r="A111" s="34" t="n">
        <x:v>46240.5</x:v>
      </x:c>
      <x:c r="B111" s="31" t="str">
        <x:v>Tennessee</x:v>
      </x:c>
      <x:c r="C111" s="31" t="str">
        <x:v>QTE-L260806-QB0A</x:v>
      </x:c>
      <x:c r="D111" s="42" t="str">
        <x:v>Charcoal-Grilled BBQ Chicken (10 lbs) – Full Tray (Large standard depth tray size, Serves 20)</x:v>
      </x:c>
      <x:c r="E111" s="36" t="n">
        <x:f>IFERROR('Source Data'!C111/'Source Data'!D111,0)</x:f>
        <x:v>100</x:v>
      </x:c>
      <x:c r="F111" s="44" t="n">
        <x:v>1</x:v>
      </x:c>
    </x:row>
    <x:row r="112">
      <x:c r="A112" s="34" t="n">
        <x:v>46240.5</x:v>
      </x:c>
      <x:c r="B112" s="31" t="str">
        <x:v>Tennessee</x:v>
      </x:c>
      <x:c r="C112" s="31" t="str">
        <x:v>QTE-L260806-QB0A</x:v>
      </x:c>
      <x:c r="D112" s="42" t="str">
        <x:v>Rice (10 lbs) – Full Tray (Large standard depth tray size, Serves 20)</x:v>
      </x:c>
      <x:c r="E112" s="36" t="n">
        <x:f>IFERROR('Source Data'!C112/'Source Data'!D112,0)</x:f>
        <x:v>30</x:v>
      </x:c>
      <x:c r="F112" s="44" t="n">
        <x:v>2</x:v>
      </x:c>
    </x:row>
    <x:row r="113">
      <x:c r="A113" s="34" t="n">
        <x:v>46240.5</x:v>
      </x:c>
      <x:c r="B113" s="31" t="str">
        <x:v>Tennessee</x:v>
      </x:c>
      <x:c r="C113" s="31" t="str">
        <x:v>QTE-L260806-QB0A</x:v>
      </x:c>
      <x:c r="D113" s="42" t="str">
        <x:v>Noodles (10 lbs) – Full Tray (Large standard depth tray size, Serves 20)</x:v>
      </x:c>
      <x:c r="E113" s="36" t="n">
        <x:f>IFERROR('Source Data'!C113/'Source Data'!D113,0)</x:f>
        <x:v>50</x:v>
      </x:c>
      <x:c r="F113" s="44" t="n">
        <x:v>1</x:v>
      </x:c>
    </x:row>
    <x:row r="114">
      <x:c r="A114" s="34" t="n">
        <x:v>46240.5</x:v>
      </x:c>
      <x:c r="B114" s="31" t="str">
        <x:v>Tennessee</x:v>
      </x:c>
      <x:c r="C114" s="31" t="str">
        <x:v>GTL-L260806-O7WM</x:v>
      </x:c>
      <x:c r="D114" s="42" t="str">
        <x:v>Hatyai Crispy Chicken Salad with Side</x:v>
      </x:c>
      <x:c r="E114" s="36" t="n">
        <x:f>IFERROR('Source Data'!C114/'Source Data'!D114,0)</x:f>
        <x:v>9.5</x:v>
      </x:c>
      <x:c r="F114" s="44" t="n">
        <x:v>1</x:v>
      </x:c>
    </x:row>
    <x:row r="115">
      <x:c r="A115" s="34" t="n">
        <x:v>46241.5</x:v>
      </x:c>
      <x:c r="B115" s="31" t="str">
        <x:v>Tennessee</x:v>
      </x:c>
      <x:c r="C115" s="31" t="str">
        <x:v>DKN-L260807-YONJ</x:v>
      </x:c>
      <x:c r="D115" s="42" t="str">
        <x:v>Green Curry Hatyai Crispy Chicken Rice</x:v>
      </x:c>
      <x:c r="E115" s="36" t="n">
        <x:f>IFERROR('Source Data'!C115/'Source Data'!D115,0)</x:f>
        <x:v>9.75</x:v>
      </x:c>
      <x:c r="F115" s="44" t="n">
        <x:v>6</x:v>
      </x:c>
    </x:row>
    <x:row r="116">
      <x:c r="A116" s="34" t="n">
        <x:v>46241.5</x:v>
      </x:c>
      <x:c r="B116" s="31" t="str">
        <x:v>Tennessee</x:v>
      </x:c>
      <x:c r="C116" s="31" t="str">
        <x:v>DKN-L260807-YONJ</x:v>
      </x:c>
      <x:c r="D116" s="42" t="str">
        <x:v>Green Curry Charcoal-Grilled BBQ Chicken Rice</x:v>
      </x:c>
      <x:c r="E116" s="36" t="n">
        <x:f>IFERROR('Source Data'!C116/'Source Data'!D116,0)</x:f>
        <x:v>9.75</x:v>
      </x:c>
      <x:c r="F116" s="44" t="n">
        <x:v>7</x:v>
      </x:c>
    </x:row>
    <x:row r="117">
      <x:c r="A117" s="34" t="n">
        <x:v>46241.5</x:v>
      </x:c>
      <x:c r="B117" s="31" t="str">
        <x:v>Tennessee</x:v>
      </x:c>
      <x:c r="C117" s="31" t="str">
        <x:v>DKN-L260807-YONJ</x:v>
      </x:c>
      <x:c r="D117" s="42" t="str">
        <x:v>Bangkok Pepper Tofu with Garlic Rice</x:v>
      </x:c>
      <x:c r="E117" s="36" t="n">
        <x:f>IFERROR('Source Data'!C117/'Source Data'!D117,0)</x:f>
        <x:v>7.25</x:v>
      </x:c>
      <x:c r="F117" s="44" t="n">
        <x:v>2</x:v>
      </x:c>
    </x:row>
    <x:row r="118">
      <x:c r="A118" s="34" t="n">
        <x:v>46243.5</x:v>
      </x:c>
      <x:c r="B118" s="31" t="str">
        <x:v>Geary</x:v>
      </x:c>
      <x:c r="C118" s="31" t="str">
        <x:v>JQH-D260809-TSA8</x:v>
      </x:c>
      <x:c r="D118" s="42" t="str">
        <x:v>Bangkok Pepper Tofu with Garlic Rice</x:v>
      </x:c>
      <x:c r="E118" s="36" t="n">
        <x:f>IFERROR('Source Data'!C118/'Source Data'!D118,0)</x:f>
        <x:v>7.25</x:v>
      </x:c>
      <x:c r="F118" s="44" t="n">
        <x:v>1</x:v>
      </x:c>
    </x:row>
    <x:row r="119">
      <x:c r="A119" s="34" t="n">
        <x:v>46243.5</x:v>
      </x:c>
      <x:c r="B119" s="31" t="str">
        <x:v>Geary</x:v>
      </x:c>
      <x:c r="C119" s="31" t="str">
        <x:v>JQH-D260809-TSA8</x:v>
      </x:c>
      <x:c r="D119" s="42" t="str">
        <x:v>Charcoal-Grilled BBQ Chicken Rice</x:v>
      </x:c>
      <x:c r="E119" s="36" t="n">
        <x:f>IFERROR('Source Data'!C119/'Source Data'!D119,0)</x:f>
        <x:v>9.5</x:v>
      </x:c>
      <x:c r="F119" s="44" t="n">
        <x:v>1</x:v>
      </x:c>
    </x:row>
    <x:row r="120">
      <x:c r="A120" s="34" t="n">
        <x:v>46246.5</x:v>
      </x:c>
      <x:c r="B120" s="31" t="str">
        <x:v>Geary</x:v>
      </x:c>
      <x:c r="C120" s="31" t="str">
        <x:v>JQH-D260812-TSA8</x:v>
      </x:c>
      <x:c r="D120" s="42" t="str">
        <x:v>Green Curry Charcoal-Grilled BBQ Chicken Rice</x:v>
      </x:c>
      <x:c r="E120" s="36" t="n">
        <x:f>IFERROR('Source Data'!C120/'Source Data'!D120,0)</x:f>
        <x:v>9.75</x:v>
      </x:c>
      <x:c r="F120" s="44" t="n">
        <x:v>1</x:v>
      </x:c>
    </x:row>
    <x:row r="121">
      <x:c r="A121" s="34" t="n">
        <x:v>46246.5</x:v>
      </x:c>
      <x:c r="B121" s="31" t="str">
        <x:v>Geary</x:v>
      </x:c>
      <x:c r="C121" s="31" t="str">
        <x:v>JQH-D260812-TSA8</x:v>
      </x:c>
      <x:c r="D121" s="42" t="str">
        <x:v>Bangkok Pepper Tofu Noodles</x:v>
      </x:c>
      <x:c r="E121" s="36" t="n">
        <x:f>IFERROR('Source Data'!C121/'Source Data'!D121,0)</x:f>
        <x:v>8.25</x:v>
      </x:c>
      <x:c r="F121" s="44" t="n">
        <x:v>1</x:v>
      </x:c>
    </x:row>
    <x:row r="122">
      <x:c r="A122" s="34" t="n">
        <x:v>46246.5</x:v>
      </x:c>
      <x:c r="B122" s="31" t="str">
        <x:v>Geary</x:v>
      </x:c>
      <x:c r="C122" s="31" t="str">
        <x:v>JQH-D260812-TSA8</x:v>
      </x:c>
      <x:c r="D122" s="42" t="str">
        <x:v>Shredded Chicken Noodles</x:v>
      </x:c>
      <x:c r="E122" s="36" t="n">
        <x:f>IFERROR('Source Data'!C122/'Source Data'!D122,0)</x:f>
        <x:v>8.25</x:v>
      </x:c>
      <x:c r="F122" s="44" t="n">
        <x:v>1</x:v>
      </x:c>
    </x:row>
    <x:row r="123">
      <x:c r="A123" s="34" t="n">
        <x:v>46247.5</x:v>
      </x:c>
      <x:c r="B123" s="31" t="str">
        <x:v>Tennessee</x:v>
      </x:c>
      <x:c r="C123" s="31" t="str">
        <x:v>KNH-L260813-41ET</x:v>
      </x:c>
      <x:c r="D123" s="42" t="str">
        <x:v>Charcoal-Grilled BBQ Chicken Noodles</x:v>
      </x:c>
      <x:c r="E123" s="36" t="n">
        <x:f>IFERROR('Source Data'!C123/'Source Data'!D123,0)</x:f>
        <x:v>9.5</x:v>
      </x:c>
      <x:c r="F123" s="44" t="n">
        <x:v>3</x:v>
      </x:c>
    </x:row>
    <x:row r="124">
      <x:c r="A124" s="34" t="n">
        <x:v>46247.5</x:v>
      </x:c>
      <x:c r="B124" s="31" t="str">
        <x:v>Tennessee</x:v>
      </x:c>
      <x:c r="C124" s="31" t="str">
        <x:v>KNH-L260813-41ET</x:v>
      </x:c>
      <x:c r="D124" s="42" t="str">
        <x:v>Shredded Chicken Noodles</x:v>
      </x:c>
      <x:c r="E124" s="36" t="n">
        <x:f>IFERROR('Source Data'!C124/'Source Data'!D124,0)</x:f>
        <x:v>8.25</x:v>
      </x:c>
      <x:c r="F124" s="44" t="n">
        <x:v>2</x:v>
      </x:c>
    </x:row>
    <x:row r="125">
      <x:c r="A125" s="34" t="n">
        <x:v>46247.5</x:v>
      </x:c>
      <x:c r="B125" s="31" t="str">
        <x:v>Tennessee</x:v>
      </x:c>
      <x:c r="C125" s="31" t="str">
        <x:v>KNH-L260813-41ET</x:v>
      </x:c>
      <x:c r="D125" s="42" t="str">
        <x:v>Hatyai Crispy Chicken Noodles</x:v>
      </x:c>
      <x:c r="E125" s="36" t="n">
        <x:f>IFERROR('Source Data'!C125/'Source Data'!D125,0)</x:f>
        <x:v>9.5</x:v>
      </x:c>
      <x:c r="F125" s="44" t="n">
        <x:v>1</x:v>
      </x:c>
    </x:row>
    <x:row r="126">
      <x:c r="A126" s="34" t="n">
        <x:v>46247.5</x:v>
      </x:c>
      <x:c r="B126" s="31" t="str">
        <x:v>Tennessee</x:v>
      </x:c>
      <x:c r="C126" s="31" t="str">
        <x:v>KNH-L260813-41ET</x:v>
      </x:c>
      <x:c r="D126" s="42" t="str">
        <x:v>Green Curry Hatyai Crispy Chicken Rice</x:v>
      </x:c>
      <x:c r="E126" s="36" t="n">
        <x:f>IFERROR('Source Data'!C126/'Source Data'!D126,0)</x:f>
        <x:v>9.75</x:v>
      </x:c>
      <x:c r="F126" s="44" t="n">
        <x:v>1</x:v>
      </x:c>
    </x:row>
    <x:row r="127">
      <x:c r="A127" s="34" t="n">
        <x:v>46247.5</x:v>
      </x:c>
      <x:c r="B127" s="31" t="str">
        <x:v>Tennessee</x:v>
      </x:c>
      <x:c r="C127" s="31" t="str">
        <x:v>KNH-L260813-41ET</x:v>
      </x:c>
      <x:c r="D127" s="42" t="str">
        <x:v>Green Curry Charcoal-Grilled BBQ Chicken Rice</x:v>
      </x:c>
      <x:c r="E127" s="36" t="n">
        <x:f>IFERROR('Source Data'!C127/'Source Data'!D127,0)</x:f>
        <x:v>9.75</x:v>
      </x:c>
      <x:c r="F127" s="44" t="n">
        <x:v>2</x:v>
      </x:c>
    </x:row>
    <x:row r="128">
      <x:c r="A128" s="34" t="n">
        <x:v>46247.5</x:v>
      </x:c>
      <x:c r="B128" s="31" t="str">
        <x:v>Tennessee</x:v>
      </x:c>
      <x:c r="C128" s="31" t="str">
        <x:v>KNH-L260813-41ET</x:v>
      </x:c>
      <x:c r="D128" s="42" t="str">
        <x:v>Charcoal-Grilled BBQ Chicken Salad</x:v>
      </x:c>
      <x:c r="E128" s="36" t="n">
        <x:f>IFERROR('Source Data'!C128/'Source Data'!D128,0)</x:f>
        <x:v>9.5</x:v>
      </x:c>
      <x:c r="F128" s="44" t="n">
        <x:v>1</x:v>
      </x:c>
    </x:row>
    <x:row r="129">
      <x:c r="A129" s="34" t="n">
        <x:v>46247.5</x:v>
      </x:c>
      <x:c r="B129" s="31" t="str">
        <x:v>Tennessee</x:v>
      </x:c>
      <x:c r="C129" s="31" t="str">
        <x:v>KNH-L260813-41ET</x:v>
      </x:c>
      <x:c r="D129" s="42" t="str">
        <x:v>Bangkok Pepper Tofu with Herb-Infused Noodle</x:v>
      </x:c>
      <x:c r="E129" s="36" t="n">
        <x:f>IFERROR('Source Data'!C129/'Source Data'!D129,0)</x:f>
        <x:v>8.25</x:v>
      </x:c>
      <x:c r="F129" s="44" t="n">
        <x:v>1</x:v>
      </x:c>
    </x:row>
    <x:row r="130">
      <x:c r="A130" s="34" t="n">
        <x:v>46247.5</x:v>
      </x:c>
      <x:c r="B130" s="31" t="str">
        <x:v>Tennessee</x:v>
      </x:c>
      <x:c r="C130" s="31" t="str">
        <x:v>KNH-L260813-41ET</x:v>
      </x:c>
      <x:c r="D130" s="42" t="str">
        <x:v>(NO CHICHARRON )Shredded Chicken Noodles</x:v>
      </x:c>
      <x:c r="E130" s="36" t="n">
        <x:f>IFERROR('Source Data'!C130/'Source Data'!D130,0)</x:f>
        <x:v>8.25</x:v>
      </x:c>
      <x:c r="F130" s="44" t="n">
        <x:v>1</x:v>
      </x:c>
    </x:row>
    <x:row r="131">
      <x:c r="A131" s="34" t="n">
        <x:v>46247.5</x:v>
      </x:c>
      <x:c r="B131" s="31" t="str">
        <x:v>Tennessee</x:v>
      </x:c>
      <x:c r="C131" s="31" t="str">
        <x:v>KNH-L260813-41ET</x:v>
      </x:c>
      <x:c r="D131" s="42" t="str">
        <x:v>Hatyai Crispy Chicken Rice</x:v>
      </x:c>
      <x:c r="E131" s="36" t="n">
        <x:f>IFERROR('Source Data'!C131/'Source Data'!D131,0)</x:f>
        <x:v>9.5</x:v>
      </x:c>
      <x:c r="F131" s="44" t="n">
        <x:v>1</x:v>
      </x:c>
    </x:row>
    <x:row r="132">
      <x:c r="A132" s="34" t="n">
        <x:v>46247.5</x:v>
      </x:c>
      <x:c r="B132" s="31" t="str">
        <x:v>Tennessee</x:v>
      </x:c>
      <x:c r="C132" s="31" t="str">
        <x:v>KNH-L260813-41ET</x:v>
      </x:c>
      <x:c r="D132" s="42" t="str">
        <x:v>Bangkok Pepper Tofu (7 pieces)</x:v>
      </x:c>
      <x:c r="E132" s="36" t="n">
        <x:f>IFERROR('Source Data'!C132/'Source Data'!D132,0)</x:f>
        <x:v>4</x:v>
      </x:c>
      <x:c r="F132" s="44" t="n">
        <x:v>2</x:v>
      </x:c>
    </x:row>
    <x:row r="133">
      <x:c r="A133" s="34" t="n">
        <x:v>46247.5</x:v>
      </x:c>
      <x:c r="B133" s="31" t="str">
        <x:v>Tennessee</x:v>
      </x:c>
      <x:c r="C133" s="31" t="str">
        <x:v>KNH-L260813-41ET</x:v>
      </x:c>
      <x:c r="D133" s="42" t="str">
        <x:v>Chili Jaew Sauce</x:v>
      </x:c>
      <x:c r="E133" s="36" t="n">
        <x:f>IFERROR('Source Data'!C133/'Source Data'!D133,0)</x:f>
        <x:v>0.75</x:v>
      </x:c>
      <x:c r="F133" s="44" t="n">
        <x:v>1</x:v>
      </x:c>
    </x:row>
    <x:row r="134">
      <x:c r="A134" s="34" t="n">
        <x:v>46248.5</x:v>
      </x:c>
      <x:c r="B134" s="31" t="str">
        <x:v>Tennessee</x:v>
      </x:c>
      <x:c r="C134" s="31" t="str">
        <x:v>IEW-L260814-QVDZ</x:v>
      </x:c>
      <x:c r="D134" s="42" t="str">
        <x:v>Charcoal-Grilled BBQ Chicken Salad</x:v>
      </x:c>
      <x:c r="E134" s="36" t="n">
        <x:f>IFERROR('Source Data'!C134/'Source Data'!D134,0)</x:f>
        <x:v>9.5</x:v>
      </x:c>
      <x:c r="F134" s="44" t="n">
        <x:v>2</x:v>
      </x:c>
    </x:row>
    <x:row r="135">
      <x:c r="A135" s="34" t="n">
        <x:v>46248.5</x:v>
      </x:c>
      <x:c r="B135" s="31" t="str">
        <x:v>Tennessee</x:v>
      </x:c>
      <x:c r="C135" s="31" t="str">
        <x:v>IEW-L260814-QVDZ</x:v>
      </x:c>
      <x:c r="D135" s="42" t="str">
        <x:v>Bangkok Pepper Tofu with Herb-Infused Noodle</x:v>
      </x:c>
      <x:c r="E135" s="36" t="n">
        <x:f>IFERROR('Source Data'!C135/'Source Data'!D135,0)</x:f>
        <x:v>8.25</x:v>
      </x:c>
      <x:c r="F135" s="44" t="n">
        <x:v>1</x:v>
      </x:c>
    </x:row>
    <x:row r="136">
      <x:c r="A136" s="34" t="n">
        <x:v>46248.5</x:v>
      </x:c>
      <x:c r="B136" s="31" t="str">
        <x:v>Tennessee</x:v>
      </x:c>
      <x:c r="C136" s="31" t="str">
        <x:v>IEW-L260814-QVDZ</x:v>
      </x:c>
      <x:c r="D136" s="42" t="str">
        <x:v>Charcoal-Grilled BBQ Chicken Noodles</x:v>
      </x:c>
      <x:c r="E136" s="36" t="n">
        <x:f>IFERROR('Source Data'!C136/'Source Data'!D136,0)</x:f>
        <x:v>9.5</x:v>
      </x:c>
      <x:c r="F136" s="44" t="n">
        <x:v>1</x:v>
      </x:c>
    </x:row>
    <x:row r="137">
      <x:c r="A137" s="34" t="n">
        <x:v>46248.5</x:v>
      </x:c>
      <x:c r="B137" s="31" t="str">
        <x:v>Tennessee</x:v>
      </x:c>
      <x:c r="C137" s="31" t="str">
        <x:v>IEW-L260814-QVDZ</x:v>
      </x:c>
      <x:c r="D137" s="42" t="str">
        <x:v>Bangkok Pepper Tofu (7 pieces)</x:v>
      </x:c>
      <x:c r="E137" s="36" t="n">
        <x:f>IFERROR('Source Data'!C137/'Source Data'!D137,0)</x:f>
        <x:v>4</x:v>
      </x:c>
      <x:c r="F137" s="44" t="n">
        <x:v>1</x:v>
      </x:c>
    </x:row>
    <x:row r="138">
      <x:c r="A138" s="34" t="n">
        <x:v>46248.5</x:v>
      </x:c>
      <x:c r="B138" s="31" t="str">
        <x:v>Tennessee</x:v>
      </x:c>
      <x:c r="C138" s="31" t="str">
        <x:v>IEW-L260814-QVDZ</x:v>
      </x:c>
      <x:c r="D138" s="42" t="str">
        <x:v>Chili Jaew Sauce</x:v>
      </x:c>
      <x:c r="E138" s="36" t="n">
        <x:f>IFERROR('Source Data'!C138/'Source Data'!D138,0)</x:f>
        <x:v>0.75</x:v>
      </x:c>
      <x:c r="F138" s="44" t="n">
        <x:v>1</x:v>
      </x:c>
    </x:row>
    <x:row r="139">
      <x:c r="A139" s="34" t="n">
        <x:v>46251.5</x:v>
      </x:c>
      <x:c r="B139" s="31" t="str">
        <x:v>Tennessee</x:v>
      </x:c>
      <x:c r="C139" s="31" t="str">
        <x:v>HOE-L260817-PL7U</x:v>
      </x:c>
      <x:c r="D139" s="42" t="str">
        <x:v>Charcoal-Grilled BBQ Chicken Rice</x:v>
      </x:c>
      <x:c r="E139" s="36" t="n">
        <x:f>IFERROR('Source Data'!C139/'Source Data'!D139,0)</x:f>
        <x:v>9.5</x:v>
      </x:c>
      <x:c r="F139" s="44" t="n">
        <x:v>30</x:v>
      </x:c>
    </x:row>
    <x:row r="140">
      <x:c r="A140" s="34" t="n">
        <x:v>46251.5</x:v>
      </x:c>
      <x:c r="B140" s="31" t="str">
        <x:v>Tennessee</x:v>
      </x:c>
      <x:c r="C140" s="31" t="str">
        <x:v>HOE-L260817-PL7U</x:v>
      </x:c>
      <x:c r="D140" s="42" t="str">
        <x:v>Hatyai Crispy Chicken Noodles</x:v>
      </x:c>
      <x:c r="E140" s="36" t="n">
        <x:f>IFERROR('Source Data'!C140/'Source Data'!D140,0)</x:f>
        <x:v>9.5</x:v>
      </x:c>
      <x:c r="F140" s="44" t="n">
        <x:v>30</x:v>
      </x:c>
    </x:row>
    <x:row r="141">
      <x:c r="A141" s="34" t="n">
        <x:v>46251.5</x:v>
      </x:c>
      <x:c r="B141" s="31" t="str">
        <x:v>Tennessee</x:v>
      </x:c>
      <x:c r="C141" s="31" t="str">
        <x:v>HOE-L260817-PL7U</x:v>
      </x:c>
      <x:c r="D141" s="42" t="str">
        <x:v>Bangkok Pepper Tofu with Garlic Rice</x:v>
      </x:c>
      <x:c r="E141" s="36" t="n">
        <x:f>IFERROR('Source Data'!C141/'Source Data'!D141,0)</x:f>
        <x:v>7.25</x:v>
      </x:c>
      <x:c r="F141" s="44" t="n">
        <x:v>15</x:v>
      </x:c>
    </x:row>
    <x:row r="142">
      <x:c r="A142" s="34" t="n">
        <x:v>46251.5</x:v>
      </x:c>
      <x:c r="B142" s="31" t="str">
        <x:v>Tennessee</x:v>
      </x:c>
      <x:c r="C142" s="31" t="str">
        <x:v>YLU-L260817-VCBW</x:v>
      </x:c>
      <x:c r="D142" s="42" t="str">
        <x:v>Green Curry Hatyai Crispy Chicken Rice</x:v>
      </x:c>
      <x:c r="E142" s="36" t="n">
        <x:f>IFERROR('Source Data'!C142/'Source Data'!D142,0)</x:f>
        <x:v>9.75</x:v>
      </x:c>
      <x:c r="F142" s="44" t="n">
        <x:v>5</x:v>
      </x:c>
    </x:row>
    <x:row r="143">
      <x:c r="A143" s="34" t="n">
        <x:v>46251.5</x:v>
      </x:c>
      <x:c r="B143" s="31" t="str">
        <x:v>Tennessee</x:v>
      </x:c>
      <x:c r="C143" s="31" t="str">
        <x:v>YLU-L260817-VCBW</x:v>
      </x:c>
      <x:c r="D143" s="42" t="str">
        <x:v>Charcoal-Grilled BBQ Chicken Salad</x:v>
      </x:c>
      <x:c r="E143" s="36" t="n">
        <x:f>IFERROR('Source Data'!C143/'Source Data'!D143,0)</x:f>
        <x:v>9.5</x:v>
      </x:c>
      <x:c r="F143" s="44" t="n">
        <x:v>4</x:v>
      </x:c>
    </x:row>
    <x:row r="144">
      <x:c r="A144" s="34" t="n">
        <x:v>46251.5</x:v>
      </x:c>
      <x:c r="B144" s="31" t="str">
        <x:v>Tennessee</x:v>
      </x:c>
      <x:c r="C144" s="31" t="str">
        <x:v>YLU-L260817-VCBW</x:v>
      </x:c>
      <x:c r="D144" s="42" t="str">
        <x:v>Charcoal-Grilled BBQ Chicken Rice</x:v>
      </x:c>
      <x:c r="E144" s="36" t="n">
        <x:f>IFERROR('Source Data'!C144/'Source Data'!D144,0)</x:f>
        <x:v>9.5</x:v>
      </x:c>
      <x:c r="F144" s="44" t="n">
        <x:v>6</x:v>
      </x:c>
    </x:row>
    <x:row r="145">
      <x:c r="A145" s="34" t="n">
        <x:v>46251.5</x:v>
      </x:c>
      <x:c r="B145" s="31" t="str">
        <x:v>Tennessee</x:v>
      </x:c>
      <x:c r="C145" s="31" t="str">
        <x:v>YLU-L260817-VCBW</x:v>
      </x:c>
      <x:c r="D145" s="42" t="str">
        <x:v>Hatyai Crispy Chicken Salad with Side</x:v>
      </x:c>
      <x:c r="E145" s="36" t="n">
        <x:f>IFERROR('Source Data'!C145/'Source Data'!D145,0)</x:f>
        <x:v>9.5</x:v>
      </x:c>
      <x:c r="F145" s="44" t="n">
        <x:v>4</x:v>
      </x:c>
    </x:row>
    <x:row r="146">
      <x:c r="A146" s="34" t="n">
        <x:v>46251.5</x:v>
      </x:c>
      <x:c r="B146" s="31" t="str">
        <x:v>Tennessee</x:v>
      </x:c>
      <x:c r="C146" s="31" t="str">
        <x:v>YLU-L260817-VCBW</x:v>
      </x:c>
      <x:c r="D146" s="42" t="str">
        <x:v>Bangkok Pepper Tofu Noodles</x:v>
      </x:c>
      <x:c r="E146" s="36" t="n">
        <x:f>IFERROR('Source Data'!C146/'Source Data'!D146,0)</x:f>
        <x:v>8.25</x:v>
      </x:c>
      <x:c r="F146" s="44" t="n">
        <x:v>3</x:v>
      </x:c>
    </x:row>
    <x:row r="147">
      <x:c r="A147" s="34" t="n">
        <x:v>46251.5</x:v>
      </x:c>
      <x:c r="B147" s="31" t="str">
        <x:v>Tennessee</x:v>
      </x:c>
      <x:c r="C147" s="31" t="str">
        <x:v>YLU-L260817-VCBW</x:v>
      </x:c>
      <x:c r="D147" s="42" t="str">
        <x:v>Bangkok Pepper Tofu with Garlic Rice</x:v>
      </x:c>
      <x:c r="E147" s="36" t="n">
        <x:f>IFERROR('Source Data'!C147/'Source Data'!D147,0)</x:f>
        <x:v>7.25</x:v>
      </x:c>
      <x:c r="F147" s="44" t="n">
        <x:v>3</x:v>
      </x:c>
    </x:row>
    <x:row r="148">
      <x:c r="A148" s="34" t="n">
        <x:v>46252.5</x:v>
      </x:c>
      <x:c r="B148" s="31" t="str">
        <x:v>Tennessee</x:v>
      </x:c>
      <x:c r="C148" s="31" t="str">
        <x:v>MNW-L260818-MWL3</x:v>
      </x:c>
      <x:c r="D148" s="42" t="str">
        <x:v>Vegetarian Yellow Curry (10 lbs) – Full Tray (NOT Spicy) (Large standard depth tray size, Serves 20)</x:v>
      </x:c>
      <x:c r="E148" s="36" t="n">
        <x:f>IFERROR('Source Data'!C148/'Source Data'!D148,0)</x:f>
        <x:v>75</x:v>
      </x:c>
      <x:c r="F148" s="44" t="n">
        <x:v>1</x:v>
      </x:c>
    </x:row>
    <x:row r="149">
      <x:c r="A149" s="34" t="n">
        <x:v>46252.5</x:v>
      </x:c>
      <x:c r="B149" s="31" t="str">
        <x:v>Tennessee</x:v>
      </x:c>
      <x:c r="C149" s="31" t="str">
        <x:v>MNW-L260818-MWL3</x:v>
      </x:c>
      <x:c r="D149" s="42" t="str">
        <x:v>Noodles (5 lbs) – Half Tray (Half standard depth tray size, Serves 10)</x:v>
      </x:c>
      <x:c r="E149" s="36" t="n">
        <x:f>IFERROR('Source Data'!C149/'Source Data'!D149,0)</x:f>
        <x:v>25</x:v>
      </x:c>
      <x:c r="F149" s="44" t="n">
        <x:v>1</x:v>
      </x:c>
    </x:row>
    <x:row r="150">
      <x:c r="A150" s="34" t="n">
        <x:v>46252.5</x:v>
      </x:c>
      <x:c r="B150" s="31" t="str">
        <x:v>Tennessee</x:v>
      </x:c>
      <x:c r="C150" s="31" t="str">
        <x:v>MNW-L260818-MWL3</x:v>
      </x:c>
      <x:c r="D150" s="42" t="str">
        <x:v>Hatyai Crispy Chicken (10 lbs) – Full Tray (Large standard depth tray size, Serves 20)</x:v>
      </x:c>
      <x:c r="E150" s="36" t="n">
        <x:f>IFERROR('Source Data'!C150/'Source Data'!D150,0)</x:f>
        <x:v>100</x:v>
      </x:c>
      <x:c r="F150" s="44" t="n">
        <x:v>3</x:v>
      </x:c>
    </x:row>
    <x:row r="151">
      <x:c r="A151" s="34" t="n">
        <x:v>46252.5</x:v>
      </x:c>
      <x:c r="B151" s="31" t="str">
        <x:v>Tennessee</x:v>
      </x:c>
      <x:c r="C151" s="31" t="str">
        <x:v>MNW-L260818-MWL3</x:v>
      </x:c>
      <x:c r="D151" s="42" t="str">
        <x:v>Spicy Thai Basil Pork (10 Lbs) - Full Tray (Large standard depth tray size, Serves 20)</x:v>
      </x:c>
      <x:c r="E151" s="36" t="n">
        <x:f>IFERROR('Source Data'!C151/'Source Data'!D151,0)</x:f>
        <x:v>100</x:v>
      </x:c>
      <x:c r="F151" s="44" t="n">
        <x:v>1</x:v>
      </x:c>
    </x:row>
    <x:row r="152">
      <x:c r="A152" s="34" t="n">
        <x:v>46252.5</x:v>
      </x:c>
      <x:c r="B152" s="31" t="str">
        <x:v>Tennessee</x:v>
      </x:c>
      <x:c r="C152" s="31" t="str">
        <x:v>MNW-L260818-MWL3</x:v>
      </x:c>
      <x:c r="D152" s="42" t="str">
        <x:v>Spicy Thai Basil Pork (5 Lbs) - Half Tray (Half standard depth tray size, Serves 10)</x:v>
      </x:c>
      <x:c r="E152" s="36" t="n">
        <x:f>IFERROR('Source Data'!C152/'Source Data'!D152,0)</x:f>
        <x:v>50</x:v>
      </x:c>
      <x:c r="F152" s="44" t="n">
        <x:v>1</x:v>
      </x:c>
    </x:row>
    <x:row r="153">
      <x:c r="A153" s="34" t="n">
        <x:v>46252.5</x:v>
      </x:c>
      <x:c r="B153" s="31" t="str">
        <x:v>Tennessee</x:v>
      </x:c>
      <x:c r="C153" s="31" t="str">
        <x:v>MNW-L260818-MWL3</x:v>
      </x:c>
      <x:c r="D153" s="42" t="str">
        <x:v>Salad Base (5 lbs) – Full Tray (Large standard depth tray size, Serves 20)</x:v>
      </x:c>
      <x:c r="E153" s="36" t="n">
        <x:f>IFERROR('Source Data'!C153/'Source Data'!D153,0)</x:f>
        <x:v>50</x:v>
      </x:c>
      <x:c r="F153" s="44" t="n">
        <x:v>2</x:v>
      </x:c>
    </x:row>
    <x:row r="154">
      <x:c r="A154" s="34" t="n">
        <x:v>46252.5</x:v>
      </x:c>
      <x:c r="B154" s="31" t="str">
        <x:v>Tennessee</x:v>
      </x:c>
      <x:c r="C154" s="31" t="str">
        <x:v>MNW-L260818-MWL3</x:v>
      </x:c>
      <x:c r="D154" s="42" t="str">
        <x:v>Rice (10 lbs) – Full Tray (Large standard depth tray size, Serves 20)</x:v>
      </x:c>
      <x:c r="E154" s="36" t="n">
        <x:f>IFERROR('Source Data'!C154/'Source Data'!D154,0)</x:f>
        <x:v>30</x:v>
      </x:c>
      <x:c r="F154" s="44" t="n">
        <x:v>2</x:v>
      </x:c>
    </x:row>
    <x:row r="155">
      <x:c r="A155" s="34" t="n">
        <x:v>46252.5</x:v>
      </x:c>
      <x:c r="B155" s="31" t="str">
        <x:v>Tennessee</x:v>
      </x:c>
      <x:c r="C155" s="31" t="str">
        <x:v>MNW-L260818-MWL3</x:v>
      </x:c>
      <x:c r="D155" s="42" t="str">
        <x:v>Noodles (10 lbs) – Full Tray (Large standard depth tray size, Serves 20)</x:v>
      </x:c>
      <x:c r="E155" s="36" t="n">
        <x:f>IFERROR('Source Data'!C155/'Source Data'!D155,0)</x:f>
        <x:v>50</x:v>
      </x:c>
      <x:c r="F155" s="44" t="n">
        <x:v>2</x:v>
      </x:c>
    </x:row>
    <x:row r="156">
      <x:c r="A156" s="34" t="n">
        <x:v>46252.5</x:v>
      </x:c>
      <x:c r="B156" s="31" t="str">
        <x:v>Tennessee</x:v>
      </x:c>
      <x:c r="C156" s="31" t="str">
        <x:v>MNW-L260818-MWL3</x:v>
      </x:c>
      <x:c r="D156" s="42" t="str">
        <x:v>Bangkok Pepper Tofu – Half Tray (5 pounds, Serves 10)</x:v>
      </x:c>
      <x:c r="E156" s="36" t="n">
        <x:f>IFERROR('Source Data'!C156/'Source Data'!D156,0)</x:f>
        <x:v>70</x:v>
      </x:c>
      <x:c r="F156" s="44" t="n">
        <x:v>1</x:v>
      </x:c>
    </x:row>
    <x:row r="157">
      <x:c r="A157" s="34" t="n">
        <x:v>46254.5</x:v>
      </x:c>
      <x:c r="B157" s="31" t="str">
        <x:v>Tennessee</x:v>
      </x:c>
      <x:c r="C157" s="31" t="str">
        <x:v>NGJ-L260820-5PR7</x:v>
      </x:c>
      <x:c r="D157" s="42" t="str">
        <x:v>(NO CHICHARRON )Shredded Chicken Noodles</x:v>
      </x:c>
      <x:c r="E157" s="36" t="n">
        <x:f>IFERROR('Source Data'!C157/'Source Data'!D157,0)</x:f>
        <x:v>8.25</x:v>
      </x:c>
      <x:c r="F157" s="44" t="n">
        <x:v>3</x:v>
      </x:c>
    </x:row>
    <x:row r="158">
      <x:c r="A158" s="34" t="n">
        <x:v>46254.5</x:v>
      </x:c>
      <x:c r="B158" s="31" t="str">
        <x:v>Tennessee</x:v>
      </x:c>
      <x:c r="C158" s="31" t="str">
        <x:v>NGJ-L260820-5PR7</x:v>
      </x:c>
      <x:c r="D158" s="42" t="str">
        <x:v>Charcoal-Grilled BBQ Chicken Noodles</x:v>
      </x:c>
      <x:c r="E158" s="36" t="n">
        <x:f>IFERROR('Source Data'!C158/'Source Data'!D158,0)</x:f>
        <x:v>9.5</x:v>
      </x:c>
      <x:c r="F158" s="44" t="n">
        <x:v>3</x:v>
      </x:c>
    </x:row>
    <x:row r="159">
      <x:c r="A159" s="34" t="n">
        <x:v>46254.5</x:v>
      </x:c>
      <x:c r="B159" s="31" t="str">
        <x:v>Tennessee</x:v>
      </x:c>
      <x:c r="C159" s="31" t="str">
        <x:v>NGJ-L260820-5PR7</x:v>
      </x:c>
      <x:c r="D159" s="42" t="str">
        <x:v>Hatyai Crispy Chicken Rice</x:v>
      </x:c>
      <x:c r="E159" s="36" t="n">
        <x:f>IFERROR('Source Data'!C159/'Source Data'!D159,0)</x:f>
        <x:v>9.5</x:v>
      </x:c>
      <x:c r="F159" s="44" t="n">
        <x:v>3</x:v>
      </x:c>
    </x:row>
    <x:row r="160">
      <x:c r="A160" s="34" t="n">
        <x:v>46254.5</x:v>
      </x:c>
      <x:c r="B160" s="31" t="str">
        <x:v>Tennessee</x:v>
      </x:c>
      <x:c r="C160" s="31" t="str">
        <x:v>NGJ-L260820-5PR7</x:v>
      </x:c>
      <x:c r="D160" s="42" t="str">
        <x:v>Hatyai Crispy Chicken (10 lbs) – Full Tray (Large standard depth tray size, Serves 20)</x:v>
      </x:c>
      <x:c r="E160" s="36" t="n">
        <x:f>IFERROR('Source Data'!C160/'Source Data'!D160,0)</x:f>
        <x:v>100</x:v>
      </x:c>
      <x:c r="F160" s="44" t="n">
        <x:v>4</x:v>
      </x:c>
    </x:row>
    <x:row r="161">
      <x:c r="A161" s="34" t="n">
        <x:v>46254.5</x:v>
      </x:c>
      <x:c r="B161" s="31" t="str">
        <x:v>Tennessee</x:v>
      </x:c>
      <x:c r="C161" s="31" t="str">
        <x:v>NGJ-L260820-5PR7</x:v>
      </x:c>
      <x:c r="D161" s="42" t="str">
        <x:v>Charcoal-Grilled BBQ Chicken (10 lbs) – Full Tray (Large standard depth tray size, Serves 20)</x:v>
      </x:c>
      <x:c r="E161" s="36" t="n">
        <x:f>IFERROR('Source Data'!C161/'Source Data'!D161,0)</x:f>
        <x:v>100</x:v>
      </x:c>
      <x:c r="F161" s="44" t="n">
        <x:v>3</x:v>
      </x:c>
    </x:row>
    <x:row r="162">
      <x:c r="A162" s="34" t="n">
        <x:v>46254.5</x:v>
      </x:c>
      <x:c r="B162" s="31" t="str">
        <x:v>Tennessee</x:v>
      </x:c>
      <x:c r="C162" s="31" t="str">
        <x:v>NGJ-L260820-5PR7</x:v>
      </x:c>
      <x:c r="D162" s="42" t="str">
        <x:v>Charcoal-Grilled BBQ Chicken (5 lbs) – Half Tray (Half standard depth tray size, Serves 10)</x:v>
      </x:c>
      <x:c r="E162" s="36" t="n">
        <x:f>IFERROR('Source Data'!C162/'Source Data'!D162,0)</x:f>
        <x:v>50</x:v>
      </x:c>
      <x:c r="F162" s="44" t="n">
        <x:v>1</x:v>
      </x:c>
    </x:row>
    <x:row r="163">
      <x:c r="A163" s="34" t="n">
        <x:v>46254.5</x:v>
      </x:c>
      <x:c r="B163" s="31" t="str">
        <x:v>Tennessee</x:v>
      </x:c>
      <x:c r="C163" s="31" t="str">
        <x:v>NGJ-L260820-5PR7</x:v>
      </x:c>
      <x:c r="D163" s="42" t="str">
        <x:v>Spicy Thai Basil Pork (10 Lbs) - Full Tray (Large standard depth tray size, Serves 20)</x:v>
      </x:c>
      <x:c r="E163" s="36" t="n">
        <x:f>IFERROR('Source Data'!C163/'Source Data'!D163,0)</x:f>
        <x:v>100</x:v>
      </x:c>
      <x:c r="F163" s="44" t="n">
        <x:v>3</x:v>
      </x:c>
    </x:row>
    <x:row r="164">
      <x:c r="A164" s="34" t="n">
        <x:v>46254.5</x:v>
      </x:c>
      <x:c r="B164" s="31" t="str">
        <x:v>Tennessee</x:v>
      </x:c>
      <x:c r="C164" s="31" t="str">
        <x:v>NGJ-L260820-5PR7</x:v>
      </x:c>
      <x:c r="D164" s="42" t="str">
        <x:v>Sriracha Sauce (16 oz, Serves 4)</x:v>
      </x:c>
      <x:c r="E164" s="36" t="n">
        <x:f>IFERROR('Source Data'!C164/'Source Data'!D164,0)</x:f>
        <x:v>6</x:v>
      </x:c>
      <x:c r="F164" s="44" t="n">
        <x:v>4</x:v>
      </x:c>
    </x:row>
    <x:row r="165">
      <x:c r="A165" s="34" t="n">
        <x:v>46254.5</x:v>
      </x:c>
      <x:c r="B165" s="31" t="str">
        <x:v>Tennessee</x:v>
      </x:c>
      <x:c r="C165" s="31" t="str">
        <x:v>NGJ-L260820-5PR7</x:v>
      </x:c>
      <x:c r="D165" s="42" t="str">
        <x:v>Thai Sweet Chili Sauce (16 oz, Serves 4)</x:v>
      </x:c>
      <x:c r="E165" s="36" t="n">
        <x:f>IFERROR('Source Data'!C165/'Source Data'!D165,0)</x:f>
        <x:v>6</x:v>
      </x:c>
      <x:c r="F165" s="44" t="n">
        <x:v>4</x:v>
      </x:c>
    </x:row>
    <x:row r="166">
      <x:c r="A166" s="34" t="n">
        <x:v>46254.5</x:v>
      </x:c>
      <x:c r="B166" s="31" t="str">
        <x:v>Tennessee</x:v>
      </x:c>
      <x:c r="C166" s="31" t="str">
        <x:v>NGJ-L260820-5PR7</x:v>
      </x:c>
      <x:c r="D166" s="42" t="str">
        <x:v>Vegetarian Yellow Curry (10 lbs) – Full Tray (NOT Spicy) (Large standard depth tray size, Serves 20)</x:v>
      </x:c>
      <x:c r="E166" s="36" t="n">
        <x:f>IFERROR('Source Data'!C166/'Source Data'!D166,0)</x:f>
        <x:v>75</x:v>
      </x:c>
      <x:c r="F166" s="44" t="n">
        <x:v>3</x:v>
      </x:c>
    </x:row>
    <x:row r="167">
      <x:c r="A167" s="34" t="n">
        <x:v>46254.5</x:v>
      </x:c>
      <x:c r="B167" s="31" t="str">
        <x:v>Tennessee</x:v>
      </x:c>
      <x:c r="C167" s="31" t="str">
        <x:v>NGJ-L260820-5PR7</x:v>
      </x:c>
      <x:c r="D167" s="42" t="str">
        <x:v>Bangkok Pepper Tofu – Full Tray (10 pounds, Serves 20)</x:v>
      </x:c>
      <x:c r="E167" s="36" t="n">
        <x:f>IFERROR('Source Data'!C167/'Source Data'!D167,0)</x:f>
        <x:v>120</x:v>
      </x:c>
      <x:c r="F167" s="44" t="n">
        <x:v>2</x:v>
      </x:c>
    </x:row>
    <x:row r="168">
      <x:c r="A168" s="34" t="n">
        <x:v>46254.5</x:v>
      </x:c>
      <x:c r="B168" s="31" t="str">
        <x:v>Tennessee</x:v>
      </x:c>
      <x:c r="C168" s="31" t="str">
        <x:v>NGJ-L260820-5PR7</x:v>
      </x:c>
      <x:c r="D168" s="42" t="str">
        <x:v>Salad Base (5 lbs) – Full Tray (Large standard depth tray size, Serves 20)</x:v>
      </x:c>
      <x:c r="E168" s="36" t="n">
        <x:f>IFERROR('Source Data'!C168/'Source Data'!D168,0)</x:f>
        <x:v>35</x:v>
      </x:c>
      <x:c r="F168" s="44" t="n">
        <x:v>7</x:v>
      </x:c>
    </x:row>
    <x:row r="169">
      <x:c r="A169" s="34" t="n">
        <x:v>46254.5</x:v>
      </x:c>
      <x:c r="B169" s="31" t="str">
        <x:v>Tennessee</x:v>
      </x:c>
      <x:c r="C169" s="31" t="str">
        <x:v>NGJ-L260820-5PR7</x:v>
      </x:c>
      <x:c r="D169" s="42" t="str">
        <x:v>Rice (10 lbs) – Full Tray (Large standard depth tray size, Serves 20)</x:v>
      </x:c>
      <x:c r="E169" s="36" t="n">
        <x:f>IFERROR('Source Data'!C169/'Source Data'!D169,0)</x:f>
        <x:v>30</x:v>
      </x:c>
      <x:c r="F169" s="44" t="n">
        <x:v>4</x:v>
      </x:c>
    </x:row>
    <x:row r="170">
      <x:c r="A170" s="34" t="n">
        <x:v>46254.5</x:v>
      </x:c>
      <x:c r="B170" s="31" t="str">
        <x:v>Tennessee</x:v>
      </x:c>
      <x:c r="C170" s="31" t="str">
        <x:v>NGJ-L260820-5PR7</x:v>
      </x:c>
      <x:c r="D170" s="42" t="str">
        <x:v>Noodles (10 lbs) – Full Tray (Large standard depth tray size, Serves 20)</x:v>
      </x:c>
      <x:c r="E170" s="36" t="n">
        <x:f>IFERROR('Source Data'!C170/'Source Data'!D170,0)</x:f>
        <x:v>50</x:v>
      </x:c>
      <x:c r="F170" s="44" t="n">
        <x:v>5</x:v>
      </x:c>
    </x:row>
    <x:row r="171">
      <x:c r="A171" s="34" t="n">
        <x:v>46255.5</x:v>
      </x:c>
      <x:c r="B171" s="31" t="str">
        <x:v>Tennessee</x:v>
      </x:c>
      <x:c r="C171" s="31" t="str">
        <x:v>GNC-L260821-KZ5S</x:v>
      </x:c>
      <x:c r="D171" s="42" t="str">
        <x:v>Charcoal-Grilled BBQ Chicken (10 lbs) – Full Tray (Large standard depth tray size, Serves 20)</x:v>
      </x:c>
      <x:c r="E171" s="36" t="n">
        <x:f>IFERROR('Source Data'!C171/'Source Data'!D171,0)</x:f>
        <x:v>100</x:v>
      </x:c>
      <x:c r="F171" s="44" t="n">
        <x:v>1</x:v>
      </x:c>
    </x:row>
    <x:row r="172">
      <x:c r="A172" s="34" t="n">
        <x:v>46255.5</x:v>
      </x:c>
      <x:c r="B172" s="31" t="str">
        <x:v>Tennessee</x:v>
      </x:c>
      <x:c r="C172" s="31" t="str">
        <x:v>GNC-L260821-KZ5S</x:v>
      </x:c>
      <x:c r="D172" s="42" t="str">
        <x:v>Hatyai Crispy Chicken (5 lbs) – Half Tray (Half standard depth tray size, Serves 10)</x:v>
      </x:c>
      <x:c r="E172" s="36" t="n">
        <x:f>IFERROR('Source Data'!C172/'Source Data'!D172,0)</x:f>
        <x:v>50</x:v>
      </x:c>
      <x:c r="F172" s="44" t="n">
        <x:v>2</x:v>
      </x:c>
    </x:row>
    <x:row r="173">
      <x:c r="A173" s="34" t="n">
        <x:v>46255.5</x:v>
      </x:c>
      <x:c r="B173" s="31" t="str">
        <x:v>Tennessee</x:v>
      </x:c>
      <x:c r="C173" s="31" t="str">
        <x:v>GNC-L260821-KZ5S</x:v>
      </x:c>
      <x:c r="D173" s="42" t="str">
        <x:v>Vegetarian Yellow Curry (10 lbs) – Full Tray (NOT Spicy) (Large standard depth tray size, Serves 20)</x:v>
      </x:c>
      <x:c r="E173" s="36" t="n">
        <x:f>IFERROR('Source Data'!C173/'Source Data'!D173,0)</x:f>
        <x:v>75</x:v>
      </x:c>
      <x:c r="F173" s="44" t="n">
        <x:v>1</x:v>
      </x:c>
    </x:row>
    <x:row r="174">
      <x:c r="A174" s="34" t="n">
        <x:v>46255.5</x:v>
      </x:c>
      <x:c r="B174" s="31" t="str">
        <x:v>Tennessee</x:v>
      </x:c>
      <x:c r="C174" s="31" t="str">
        <x:v>GNC-L260821-KZ5S</x:v>
      </x:c>
      <x:c r="D174" s="42" t="str">
        <x:v>Bangkok Pepper Tofu – Half Tray (5 pounds, Serves 10)</x:v>
      </x:c>
      <x:c r="E174" s="36" t="n">
        <x:f>IFERROR('Source Data'!C174/'Source Data'!D174,0)</x:f>
        <x:v>70</x:v>
      </x:c>
      <x:c r="F174" s="44" t="n">
        <x:v>1</x:v>
      </x:c>
    </x:row>
    <x:row r="175">
      <x:c r="A175" s="34" t="n">
        <x:v>46255.5</x:v>
      </x:c>
      <x:c r="B175" s="31" t="str">
        <x:v>Tennessee</x:v>
      </x:c>
      <x:c r="C175" s="31" t="str">
        <x:v>GNC-L260821-KZ5S</x:v>
      </x:c>
      <x:c r="D175" s="42" t="str">
        <x:v>Rice (10 lbs) – Full Tray (Large standard depth tray size, Serves 20)</x:v>
      </x:c>
      <x:c r="E175" s="36" t="n">
        <x:f>IFERROR('Source Data'!C175/'Source Data'!D175,0)</x:f>
        <x:v>30</x:v>
      </x:c>
      <x:c r="F175" s="44" t="n">
        <x:v>1</x:v>
      </x:c>
    </x:row>
    <x:row r="176">
      <x:c r="A176" s="34" t="n">
        <x:v>46255.5</x:v>
      </x:c>
      <x:c r="B176" s="31" t="str">
        <x:v>Tennessee</x:v>
      </x:c>
      <x:c r="C176" s="31" t="str">
        <x:v>GNC-L260821-KZ5S</x:v>
      </x:c>
      <x:c r="D176" s="42" t="str">
        <x:v>Noodles (10 lbs) – Full Tray (Large standard depth tray size, Serves 20)</x:v>
      </x:c>
      <x:c r="E176" s="36" t="n">
        <x:f>IFERROR('Source Data'!C176/'Source Data'!D176,0)</x:f>
        <x:v>50</x:v>
      </x:c>
      <x:c r="F176" s="44" t="n">
        <x:v>1</x:v>
      </x:c>
    </x:row>
    <x:row r="177">
      <x:c r="A177" s="34" t="n">
        <x:v>46255.5</x:v>
      </x:c>
      <x:c r="B177" s="31" t="str">
        <x:v>Tennessee</x:v>
      </x:c>
      <x:c r="C177" s="31" t="str">
        <x:v>GNC-L260821-KZ5S</x:v>
      </x:c>
      <x:c r="D177" s="42" t="str">
        <x:v>Basil Lemon Vinaigrette (16 oz, Serves 4)</x:v>
      </x:c>
      <x:c r="E177" s="36" t="n">
        <x:f>IFERROR('Source Data'!C177/'Source Data'!D177,0)</x:f>
        <x:v>6</x:v>
      </x:c>
      <x:c r="F177" s="44" t="n">
        <x:v>10</x:v>
      </x:c>
    </x:row>
    <x:row r="178">
      <x:c r="A178" s="34" t="n">
        <x:v>46255.5</x:v>
      </x:c>
      <x:c r="B178" s="31" t="str">
        <x:v>Tennessee</x:v>
      </x:c>
      <x:c r="C178" s="31" t="str">
        <x:v>GNC-L260821-KZ5S</x:v>
      </x:c>
      <x:c r="D178" s="42" t="str">
        <x:v>Grilled Pepper Mayo (16 oz, Serves 4)</x:v>
      </x:c>
      <x:c r="E178" s="36" t="n">
        <x:f>IFERROR('Source Data'!C178/'Source Data'!D178,0)</x:f>
        <x:v>6</x:v>
      </x:c>
      <x:c r="F178" s="44" t="n">
        <x:v>10</x:v>
      </x:c>
    </x:row>
    <x:row r="179">
      <x:c r="A179" s="34" t="n">
        <x:v>46255.5</x:v>
      </x:c>
      <x:c r="B179" s="31" t="str">
        <x:v>Tennessee</x:v>
      </x:c>
      <x:c r="C179" s="31" t="str">
        <x:v>FWE-L260821-QWZ1</x:v>
      </x:c>
      <x:c r="D179" s="42" t="str">
        <x:v>Bangkok Pepper Tofu with Herb-Infused Noodle</x:v>
      </x:c>
      <x:c r="E179" s="36" t="n">
        <x:f>IFERROR('Source Data'!C179/'Source Data'!D179,0)</x:f>
        <x:v>8.25</x:v>
      </x:c>
      <x:c r="F179" s="44" t="n">
        <x:v>4</x:v>
      </x:c>
    </x:row>
    <x:row r="180">
      <x:c r="A180" s="34" t="n">
        <x:v>46255.5</x:v>
      </x:c>
      <x:c r="B180" s="31" t="str">
        <x:v>Tennessee</x:v>
      </x:c>
      <x:c r="C180" s="31" t="str">
        <x:v>FWE-L260821-QWZ1</x:v>
      </x:c>
      <x:c r="D180" s="42" t="str">
        <x:v>Charcoal-Grilled BBQ Chicken Salad</x:v>
      </x:c>
      <x:c r="E180" s="36" t="n">
        <x:f>IFERROR('Source Data'!C180/'Source Data'!D180,0)</x:f>
        <x:v>9.5</x:v>
      </x:c>
      <x:c r="F180" s="44" t="n">
        <x:v>2</x:v>
      </x:c>
    </x:row>
    <x:row r="181">
      <x:c r="A181" s="34" t="n">
        <x:v>46255.5</x:v>
      </x:c>
      <x:c r="B181" s="31" t="str">
        <x:v>Tennessee</x:v>
      </x:c>
      <x:c r="C181" s="31" t="str">
        <x:v>FWE-L260821-QWZ1</x:v>
      </x:c>
      <x:c r="D181" s="42" t="str">
        <x:v>Green Curry Charcoal-Grilled BBQ Chicken Rice</x:v>
      </x:c>
      <x:c r="E181" s="36" t="n">
        <x:f>IFERROR('Source Data'!C181/'Source Data'!D181,0)</x:f>
        <x:v>9.75</x:v>
      </x:c>
      <x:c r="F181" s="44" t="n">
        <x:v>2</x:v>
      </x:c>
    </x:row>
    <x:row r="182">
      <x:c r="A182" s="34" t="n">
        <x:v>46255.5</x:v>
      </x:c>
      <x:c r="B182" s="31" t="str">
        <x:v>Tennessee</x:v>
      </x:c>
      <x:c r="C182" s="31" t="str">
        <x:v>FWE-L260821-QWZ1</x:v>
      </x:c>
      <x:c r="D182" s="42" t="str">
        <x:v>Charcoal-Grilled BBQ Chicken Rice</x:v>
      </x:c>
      <x:c r="E182" s="36" t="n">
        <x:f>IFERROR('Source Data'!C182/'Source Data'!D182,0)</x:f>
        <x:v>9.5</x:v>
      </x:c>
      <x:c r="F182" s="44" t="n">
        <x:v>1</x:v>
      </x:c>
    </x:row>
    <x:row r="183">
      <x:c r="A183" s="34" t="n">
        <x:v>46255.5</x:v>
      </x:c>
      <x:c r="B183" s="31" t="str">
        <x:v>Tennessee</x:v>
      </x:c>
      <x:c r="C183" s="31" t="str">
        <x:v>FWE-L260821-QWZ1</x:v>
      </x:c>
      <x:c r="D183" s="42" t="str">
        <x:v>Shredded Chicken Noodles</x:v>
      </x:c>
      <x:c r="E183" s="36" t="n">
        <x:f>IFERROR('Source Data'!C183/'Source Data'!D183,0)</x:f>
        <x:v>8.25</x:v>
      </x:c>
      <x:c r="F183" s="44" t="n">
        <x:v>5</x:v>
      </x:c>
    </x:row>
    <x:row r="184">
      <x:c r="A184" s="34" t="n">
        <x:v>46255.5</x:v>
      </x:c>
      <x:c r="B184" s="31" t="str">
        <x:v>Tennessee</x:v>
      </x:c>
      <x:c r="C184" s="31" t="str">
        <x:v>FWE-L260821-QWZ1</x:v>
      </x:c>
      <x:c r="D184" s="42" t="str">
        <x:v>Charcoal-Grilled BBQ Chicken Noodles</x:v>
      </x:c>
      <x:c r="E184" s="36" t="n">
        <x:f>IFERROR('Source Data'!C184/'Source Data'!D184,0)</x:f>
        <x:v>9.5</x:v>
      </x:c>
      <x:c r="F184" s="44" t="n">
        <x:v>3</x:v>
      </x:c>
    </x:row>
    <x:row r="185">
      <x:c r="A185" s="34" t="n">
        <x:v>46255.5</x:v>
      </x:c>
      <x:c r="B185" s="31" t="str">
        <x:v>Tennessee</x:v>
      </x:c>
      <x:c r="C185" s="31" t="str">
        <x:v>FWE-L260821-QWZ1</x:v>
      </x:c>
      <x:c r="D185" s="42" t="str">
        <x:v>(NO CHICHARRON )Shredded Chicken Noodles</x:v>
      </x:c>
      <x:c r="E185" s="36" t="n">
        <x:f>IFERROR('Source Data'!C185/'Source Data'!D185,0)</x:f>
        <x:v>8.25</x:v>
      </x:c>
      <x:c r="F185" s="44" t="n">
        <x:v>1</x:v>
      </x:c>
    </x:row>
    <x:row r="186">
      <x:c r="A186" s="34" t="n">
        <x:v>46255.5</x:v>
      </x:c>
      <x:c r="B186" s="31" t="str">
        <x:v>Tennessee</x:v>
      </x:c>
      <x:c r="C186" s="31" t="str">
        <x:v>FWE-L260821-QWZ1</x:v>
      </x:c>
      <x:c r="D186" s="42" t="str">
        <x:v>Bangkok Pepper Tofu with Garlic Rice</x:v>
      </x:c>
      <x:c r="E186" s="36" t="n">
        <x:f>IFERROR('Source Data'!C186/'Source Data'!D186,0)</x:f>
        <x:v>7.25</x:v>
      </x:c>
      <x:c r="F186" s="44" t="n">
        <x:v>1</x:v>
      </x:c>
    </x:row>
    <x:row r="187">
      <x:c r="A187" s="34" t="n">
        <x:v>46255.5</x:v>
      </x:c>
      <x:c r="B187" s="31" t="str">
        <x:v>Tennessee</x:v>
      </x:c>
      <x:c r="C187" s="31" t="str">
        <x:v>FWE-L260821-QWZ1</x:v>
      </x:c>
      <x:c r="D187" s="42" t="str">
        <x:v>Bangkok Pepper Tofu Noodles</x:v>
      </x:c>
      <x:c r="E187" s="36" t="n">
        <x:f>IFERROR('Source Data'!C187/'Source Data'!D187,0)</x:f>
        <x:v>8.25</x:v>
      </x:c>
      <x:c r="F187" s="44" t="n">
        <x:v>1</x:v>
      </x:c>
    </x:row>
    <x:row r="188">
      <x:c r="A188" s="34" t="n">
        <x:v>46255.5</x:v>
      </x:c>
      <x:c r="B188" s="31" t="str">
        <x:v>Tennessee</x:v>
      </x:c>
      <x:c r="C188" s="31" t="str">
        <x:v>FWE-L260821-QWZ1</x:v>
      </x:c>
      <x:c r="D188" s="42" t="str">
        <x:v>Bangkok Pepper Tofu Noodles</x:v>
      </x:c>
      <x:c r="E188" s="36" t="n">
        <x:f>IFERROR('Source Data'!C188/'Source Data'!D188,0)</x:f>
        <x:v>8.25</x:v>
      </x:c>
      <x:c r="F188" s="44" t="n">
        <x:v>2</x:v>
      </x:c>
    </x:row>
    <x:row r="189">
      <x:c r="A189" s="34" t="n">
        <x:v>46255.5</x:v>
      </x:c>
      <x:c r="B189" s="31" t="str">
        <x:v>Tennessee</x:v>
      </x:c>
      <x:c r="C189" s="31" t="str">
        <x:v>FWE-L260821-QWZ1</x:v>
      </x:c>
      <x:c r="D189" s="42" t="str">
        <x:v>House Signature Sauce</x:v>
      </x:c>
      <x:c r="E189" s="36" t="n">
        <x:f>IFERROR('Source Data'!C189/'Source Data'!D189,0)</x:f>
        <x:v>0.75</x:v>
      </x:c>
      <x:c r="F189" s="44" t="n">
        <x:v>2</x:v>
      </x:c>
    </x:row>
    <x:row r="190">
      <x:c r="A190" s="34" t="n">
        <x:v>46255.5</x:v>
      </x:c>
      <x:c r="B190" s="31" t="str">
        <x:v>Geary</x:v>
      </x:c>
      <x:c r="C190" s="31" t="str">
        <x:v>TFP-D260821-Y1QJ</x:v>
      </x:c>
      <x:c r="D190" s="42" t="str">
        <x:v>Green Curry Hatyai Crispy Chicken Rice</x:v>
      </x:c>
      <x:c r="E190" s="36" t="n">
        <x:f>IFERROR('Source Data'!C190/'Source Data'!D190,0)</x:f>
        <x:v>9.75</x:v>
      </x:c>
      <x:c r="F190" s="44" t="n">
        <x:v>15</x:v>
      </x:c>
    </x:row>
    <x:row r="191">
      <x:c r="A191" s="34" t="n">
        <x:v>46255.5</x:v>
      </x:c>
      <x:c r="B191" s="31" t="str">
        <x:v>Geary</x:v>
      </x:c>
      <x:c r="C191" s="31" t="str">
        <x:v>TFP-D260821-Y1QJ</x:v>
      </x:c>
      <x:c r="D191" s="42" t="str">
        <x:v>Green Curry Charcoal-Grilled BBQ Chicken Rice</x:v>
      </x:c>
      <x:c r="E191" s="36" t="n">
        <x:f>IFERROR('Source Data'!C191/'Source Data'!D191,0)</x:f>
        <x:v>9.75</x:v>
      </x:c>
      <x:c r="F191" s="44" t="n">
        <x:v>10</x:v>
      </x:c>
    </x:row>
    <x:row r="192">
      <x:c r="A192" s="34" t="n">
        <x:v>46255.5</x:v>
      </x:c>
      <x:c r="B192" s="31" t="str">
        <x:v>Geary</x:v>
      </x:c>
      <x:c r="C192" s="31" t="str">
        <x:v>TFP-D260821-Y1QJ</x:v>
      </x:c>
      <x:c r="D192" s="42" t="str">
        <x:v>Charcoal-Grilled BBQ Chicken Rice</x:v>
      </x:c>
      <x:c r="E192" s="36" t="n">
        <x:f>IFERROR('Source Data'!C192/'Source Data'!D192,0)</x:f>
        <x:v>9.5</x:v>
      </x:c>
      <x:c r="F192" s="44" t="n">
        <x:v>10</x:v>
      </x:c>
    </x:row>
    <x:row r="193">
      <x:c r="A193" s="34" t="n">
        <x:v>46255.5</x:v>
      </x:c>
      <x:c r="B193" s="31" t="str">
        <x:v>Geary</x:v>
      </x:c>
      <x:c r="C193" s="31" t="str">
        <x:v>TFP-D260821-Y1QJ</x:v>
      </x:c>
      <x:c r="D193" s="42" t="str">
        <x:v>Bangkok Pepper Tofu with Garlic Rice</x:v>
      </x:c>
      <x:c r="E193" s="36" t="n">
        <x:f>IFERROR('Source Data'!C193/'Source Data'!D193,0)</x:f>
        <x:v>7.25</x:v>
      </x:c>
      <x:c r="F193" s="44" t="n">
        <x:v>10</x:v>
      </x:c>
    </x:row>
    <x:row r="194">
      <x:c r="A194" s="34" t="n">
        <x:v>46258.5</x:v>
      </x:c>
      <x:c r="B194" s="31" t="str">
        <x:v>Tennessee</x:v>
      </x:c>
      <x:c r="C194" s="31" t="str">
        <x:v>ADF-L260824-YLNK</x:v>
      </x:c>
      <x:c r="D194" s="42" t="str">
        <x:v>Charcoal-Grilled BBQ Chicken (5 lbs) – Half Tray (Half standard depth tray size, Serves 10)</x:v>
      </x:c>
      <x:c r="E194" s="36" t="n">
        <x:f>IFERROR('Source Data'!C194/'Source Data'!D194,0)</x:f>
        <x:v>50</x:v>
      </x:c>
      <x:c r="F194" s="44" t="n">
        <x:v>1</x:v>
      </x:c>
    </x:row>
    <x:row r="195">
      <x:c r="A195" s="34" t="n">
        <x:v>46258.5</x:v>
      </x:c>
      <x:c r="B195" s="31" t="str">
        <x:v>Tennessee</x:v>
      </x:c>
      <x:c r="C195" s="31" t="str">
        <x:v>ADF-L260824-YLNK</x:v>
      </x:c>
      <x:c r="D195" s="42" t="str">
        <x:v>Shredded Chicken Noodles</x:v>
      </x:c>
      <x:c r="E195" s="36" t="n">
        <x:f>IFERROR('Source Data'!C195/'Source Data'!D195,0)</x:f>
        <x:v>8.25</x:v>
      </x:c>
      <x:c r="F195" s="44" t="n">
        <x:v>3</x:v>
      </x:c>
    </x:row>
    <x:row r="196">
      <x:c r="A196" s="34" t="n">
        <x:v>46258.5</x:v>
      </x:c>
      <x:c r="B196" s="31" t="str">
        <x:v>Tennessee</x:v>
      </x:c>
      <x:c r="C196" s="31" t="str">
        <x:v>ADF-L260824-YLNK</x:v>
      </x:c>
      <x:c r="D196" s="42" t="str">
        <x:v>Hatyai Crispy Chicken Noodles</x:v>
      </x:c>
      <x:c r="E196" s="36" t="n">
        <x:f>IFERROR('Source Data'!C196/'Source Data'!D196,0)</x:f>
        <x:v>9.5</x:v>
      </x:c>
      <x:c r="F196" s="44" t="n">
        <x:v>3</x:v>
      </x:c>
    </x:row>
    <x:row r="197">
      <x:c r="A197" s="34" t="n">
        <x:v>46258.5</x:v>
      </x:c>
      <x:c r="B197" s="31" t="str">
        <x:v>Tennessee</x:v>
      </x:c>
      <x:c r="C197" s="31" t="str">
        <x:v>ADF-L260824-YLNK</x:v>
      </x:c>
      <x:c r="D197" s="42" t="str">
        <x:v>Green Curry Charcoal-Grilled BBQ Chicken Rice</x:v>
      </x:c>
      <x:c r="E197" s="36" t="n">
        <x:f>IFERROR('Source Data'!C197/'Source Data'!D197,0)</x:f>
        <x:v>9.75</x:v>
      </x:c>
      <x:c r="F197" s="44" t="n">
        <x:v>3</x:v>
      </x:c>
    </x:row>
    <x:row r="198">
      <x:c r="A198" s="34" t="n">
        <x:v>46258.5</x:v>
      </x:c>
      <x:c r="B198" s="31" t="str">
        <x:v>Tennessee</x:v>
      </x:c>
      <x:c r="C198" s="31" t="str">
        <x:v>ADF-L260824-YLNK</x:v>
      </x:c>
      <x:c r="D198" s="42" t="str">
        <x:v>Charcoal-Grilled BBQ Chicken (10 lbs) – Full Tray (Large standard depth tray size, Serves 20)</x:v>
      </x:c>
      <x:c r="E198" s="36" t="n">
        <x:f>IFERROR('Source Data'!C198/'Source Data'!D198,0)</x:f>
        <x:v>100</x:v>
      </x:c>
      <x:c r="F198" s="44" t="n">
        <x:v>1</x:v>
      </x:c>
    </x:row>
    <x:row r="199">
      <x:c r="A199" s="34" t="n">
        <x:v>46258.5</x:v>
      </x:c>
      <x:c r="B199" s="31" t="str">
        <x:v>Tennessee</x:v>
      </x:c>
      <x:c r="C199" s="31" t="str">
        <x:v>ADF-L260824-YLNK</x:v>
      </x:c>
      <x:c r="D199" s="42" t="str">
        <x:v>Spicy Thai Basil Pork (10 Lbs) - Full Tray (Large standard depth tray size, Serves 20)</x:v>
      </x:c>
      <x:c r="E199" s="36" t="n">
        <x:f>IFERROR('Source Data'!C199/'Source Data'!D199,0)</x:f>
        <x:v>100</x:v>
      </x:c>
      <x:c r="F199" s="44" t="n">
        <x:v>1</x:v>
      </x:c>
    </x:row>
    <x:row r="200">
      <x:c r="A200" s="34" t="n">
        <x:v>46258.5</x:v>
      </x:c>
      <x:c r="B200" s="31" t="str">
        <x:v>Tennessee</x:v>
      </x:c>
      <x:c r="C200" s="31" t="str">
        <x:v>ADF-L260824-YLNK</x:v>
      </x:c>
      <x:c r="D200" s="42" t="str">
        <x:v>Spicy Thai Basil Pork (5 Lbs) - Half Tray (Half standard depth tray size, Serves 10)</x:v>
      </x:c>
      <x:c r="E200" s="36" t="n">
        <x:f>IFERROR('Source Data'!C200/'Source Data'!D200,0)</x:f>
        <x:v>50</x:v>
      </x:c>
      <x:c r="F200" s="44" t="n">
        <x:v>1</x:v>
      </x:c>
    </x:row>
    <x:row r="201">
      <x:c r="A201" s="34" t="n">
        <x:v>46258.5</x:v>
      </x:c>
      <x:c r="B201" s="31" t="str">
        <x:v>Tennessee</x:v>
      </x:c>
      <x:c r="C201" s="31" t="str">
        <x:v>ADF-L260824-YLNK</x:v>
      </x:c>
      <x:c r="D201" s="42" t="str">
        <x:v>Hatyai Crispy Chicken (10 lbs) – Full Tray (Large standard depth tray size, Serves 20)</x:v>
      </x:c>
      <x:c r="E201" s="36" t="n">
        <x:f>IFERROR('Source Data'!C201/'Source Data'!D201,0)</x:f>
        <x:v>100</x:v>
      </x:c>
      <x:c r="F201" s="44" t="n">
        <x:v>2</x:v>
      </x:c>
    </x:row>
    <x:row r="202">
      <x:c r="A202" s="34" t="n">
        <x:v>46258.5</x:v>
      </x:c>
      <x:c r="B202" s="31" t="str">
        <x:v>Tennessee</x:v>
      </x:c>
      <x:c r="C202" s="31" t="str">
        <x:v>ADF-L260824-YLNK</x:v>
      </x:c>
      <x:c r="D202" s="42" t="str">
        <x:v>Bangkok Pepper Tofu – Full Tray (10 pounds, Serves 20)</x:v>
      </x:c>
      <x:c r="E202" s="36" t="n">
        <x:f>IFERROR('Source Data'!C202/'Source Data'!D202,0)</x:f>
        <x:v>120</x:v>
      </x:c>
      <x:c r="F202" s="44" t="n">
        <x:v>1</x:v>
      </x:c>
    </x:row>
    <x:row r="203">
      <x:c r="A203" s="34" t="n">
        <x:v>46258.5</x:v>
      </x:c>
      <x:c r="B203" s="31" t="str">
        <x:v>Tennessee</x:v>
      </x:c>
      <x:c r="C203" s="31" t="str">
        <x:v>ADF-L260824-YLNK</x:v>
      </x:c>
      <x:c r="D203" s="42" t="str">
        <x:v>Vegetarian Yellow Curry (10 lbs) – Full Tray (NOT Spicy) (Large standard depth tray size, Serves 20)</x:v>
      </x:c>
      <x:c r="E203" s="36" t="n">
        <x:f>IFERROR('Source Data'!C203/'Source Data'!D203,0)</x:f>
        <x:v>75</x:v>
      </x:c>
      <x:c r="F203" s="44" t="n">
        <x:v>1</x:v>
      </x:c>
    </x:row>
    <x:row r="204">
      <x:c r="A204" s="34" t="n">
        <x:v>46258.5</x:v>
      </x:c>
      <x:c r="B204" s="31" t="str">
        <x:v>Tennessee</x:v>
      </x:c>
      <x:c r="C204" s="31" t="str">
        <x:v>ADF-L260824-YLNK</x:v>
      </x:c>
      <x:c r="D204" s="42" t="str">
        <x:v>Noodles (10 lbs) – Full Tray (Large standard depth tray size, Serves 20)</x:v>
      </x:c>
      <x:c r="E204" s="36" t="n">
        <x:f>IFERROR('Source Data'!C204/'Source Data'!D204,0)</x:f>
        <x:v>50</x:v>
      </x:c>
      <x:c r="F204" s="44" t="n">
        <x:v>2</x:v>
      </x:c>
    </x:row>
    <x:row r="205">
      <x:c r="A205" s="34" t="n">
        <x:v>46258.5</x:v>
      </x:c>
      <x:c r="B205" s="31" t="str">
        <x:v>Tennessee</x:v>
      </x:c>
      <x:c r="C205" s="31" t="str">
        <x:v>ADF-L260824-YLNK</x:v>
      </x:c>
      <x:c r="D205" s="42" t="str">
        <x:v>Rice (10 lbs) – Full Tray (Large standard depth tray size, Serves 20)</x:v>
      </x:c>
      <x:c r="E205" s="36" t="n">
        <x:f>IFERROR('Source Data'!C205/'Source Data'!D205,0)</x:f>
        <x:v>30</x:v>
      </x:c>
      <x:c r="F205" s="44" t="n">
        <x:v>2</x:v>
      </x:c>
    </x:row>
    <x:row r="206">
      <x:c r="A206" s="34" t="n">
        <x:v>46258.5</x:v>
      </x:c>
      <x:c r="B206" s="31" t="str">
        <x:v>Tennessee</x:v>
      </x:c>
      <x:c r="C206" s="31" t="str">
        <x:v>ADF-L260824-YLNK</x:v>
      </x:c>
      <x:c r="D206" s="42" t="str">
        <x:v>Salad Base (5 lbs) – Full Tray (Large standard depth tray size, Serves 20)</x:v>
      </x:c>
      <x:c r="E206" s="36" t="n">
        <x:f>IFERROR('Source Data'!C206/'Source Data'!D206,0)</x:f>
        <x:v>41</x:v>
      </x:c>
      <x:c r="F206" s="44" t="n">
        <x:v>4</x:v>
      </x:c>
    </x:row>
    <x:row r="207">
      <x:c r="A207" s="34" t="n">
        <x:v>46258.5</x:v>
      </x:c>
      <x:c r="B207" s="31" t="str">
        <x:v>Tennessee</x:v>
      </x:c>
      <x:c r="C207" s="31" t="str">
        <x:v>ADF-L260824-YLNK</x:v>
      </x:c>
      <x:c r="D207" s="42" t="str">
        <x:v>Mini Spring Roll with Dipping Sauce (60 pieces, Serves 20)</x:v>
      </x:c>
      <x:c r="E207" s="36" t="n">
        <x:f>IFERROR('Source Data'!C207/'Source Data'!D207,0)</x:f>
        <x:v>60</x:v>
      </x:c>
      <x:c r="F207" s="44" t="n">
        <x:v>3</x:v>
      </x:c>
    </x:row>
    <x:row r="208">
      <x:c r="A208" s="34" t="n">
        <x:v>46258.5</x:v>
      </x:c>
      <x:c r="B208" s="31" t="str">
        <x:v>Tennessee</x:v>
      </x:c>
      <x:c r="C208" s="31" t="str">
        <x:v>IEW-L260824-QVDZ</x:v>
      </x:c>
      <x:c r="D208" s="42" t="str">
        <x:v>Charcoal-Grilled BBQ Chicken Rice</x:v>
      </x:c>
      <x:c r="E208" s="36" t="n">
        <x:f>IFERROR('Source Data'!C208/'Source Data'!D208,0)</x:f>
        <x:v>9.5</x:v>
      </x:c>
      <x:c r="F208" s="44" t="n">
        <x:v>1</x:v>
      </x:c>
    </x:row>
    <x:row r="209">
      <x:c r="A209" s="34" t="n">
        <x:v>46258.5</x:v>
      </x:c>
      <x:c r="B209" s="31" t="str">
        <x:v>Tennessee</x:v>
      </x:c>
      <x:c r="C209" s="31" t="str">
        <x:v>IEW-L260824-QVDZ</x:v>
      </x:c>
      <x:c r="D209" s="42" t="str">
        <x:v>Charcoal-Grilled BBQ Chicken Salad</x:v>
      </x:c>
      <x:c r="E209" s="36" t="n">
        <x:f>IFERROR('Source Data'!C209/'Source Data'!D209,0)</x:f>
        <x:v>9.5</x:v>
      </x:c>
      <x:c r="F209" s="44" t="n">
        <x:v>1</x:v>
      </x:c>
    </x:row>
    <x:row r="210">
      <x:c r="A210" s="34" t="n">
        <x:v>46258.5</x:v>
      </x:c>
      <x:c r="B210" s="31" t="str">
        <x:v>Tennessee</x:v>
      </x:c>
      <x:c r="C210" s="31" t="str">
        <x:v>KAT-L260824-XKEP</x:v>
      </x:c>
      <x:c r="D210" s="42" t="str">
        <x:v>Charcoal-Grilled BBQ Chicken Rice</x:v>
      </x:c>
      <x:c r="E210" s="36" t="n">
        <x:f>IFERROR('Source Data'!C210/'Source Data'!D210,0)</x:f>
        <x:v>9.5</x:v>
      </x:c>
      <x:c r="F210" s="44" t="n">
        <x:v>1</x:v>
      </x:c>
    </x:row>
    <x:row r="211">
      <x:c r="A211" s="34" t="n">
        <x:v>46259.5</x:v>
      </x:c>
      <x:c r="B211" s="31" t="str">
        <x:v>Geary</x:v>
      </x:c>
      <x:c r="C211" s="31" t="str">
        <x:v>JQH-D260825-TSA8</x:v>
      </x:c>
      <x:c r="D211" s="42" t="str">
        <x:v>Hatyai Crispy Chicken Rice</x:v>
      </x:c>
      <x:c r="E211" s="36" t="n">
        <x:f>IFERROR('Source Data'!C211/'Source Data'!D211,0)</x:f>
        <x:v>9.5</x:v>
      </x:c>
      <x:c r="F211" s="44" t="n">
        <x:v>1</x:v>
      </x:c>
    </x:row>
    <x:row r="212">
      <x:c r="A212" s="34" t="n">
        <x:v>46259.5</x:v>
      </x:c>
      <x:c r="B212" s="31" t="str">
        <x:v>Geary</x:v>
      </x:c>
      <x:c r="C212" s="31" t="str">
        <x:v>JQH-D260825-TSA8</x:v>
      </x:c>
      <x:c r="D212" s="42" t="str">
        <x:v>Charcoal-Grilled BBQ Chicken Noodles</x:v>
      </x:c>
      <x:c r="E212" s="36" t="n">
        <x:f>IFERROR('Source Data'!C212/'Source Data'!D212,0)</x:f>
        <x:v>9.5</x:v>
      </x:c>
      <x:c r="F212" s="44" t="n">
        <x:v>1</x:v>
      </x:c>
    </x:row>
    <x:row r="213">
      <x:c r="A213" s="34" t="n">
        <x:v>46259.5</x:v>
      </x:c>
      <x:c r="B213" s="31" t="str">
        <x:v>Geary</x:v>
      </x:c>
      <x:c r="C213" s="31" t="str">
        <x:v>JQH-D260825-TSA8</x:v>
      </x:c>
      <x:c r="D213" s="42" t="str">
        <x:v>Bangkok Pepper Tofu Noodles</x:v>
      </x:c>
      <x:c r="E213" s="36" t="n">
        <x:f>IFERROR('Source Data'!C213/'Source Data'!D213,0)</x:f>
        <x:v>8.25</x:v>
      </x:c>
      <x:c r="F213" s="44" t="n">
        <x:v>1</x:v>
      </x:c>
    </x:row>
    <x:row r="214">
      <x:c r="A214" s="34" t="n">
        <x:v>46260.5</x:v>
      </x:c>
      <x:c r="B214" s="31" t="str">
        <x:v>Tennessee</x:v>
      </x:c>
      <x:c r="C214" s="31" t="str">
        <x:v>JQH-L260826-TSA8</x:v>
      </x:c>
      <x:c r="D214" s="42" t="str">
        <x:v>Charcoal-Grilled BBQ Chicken Noodles</x:v>
      </x:c>
      <x:c r="E214" s="36" t="n">
        <x:f>IFERROR('Source Data'!C214/'Source Data'!D214,0)</x:f>
        <x:v>9.5</x:v>
      </x:c>
      <x:c r="F214" s="44" t="n">
        <x:v>4</x:v>
      </x:c>
    </x:row>
    <x:row r="215">
      <x:c r="A215" s="34" t="n">
        <x:v>46260.5</x:v>
      </x:c>
      <x:c r="B215" s="31" t="str">
        <x:v>Tennessee</x:v>
      </x:c>
      <x:c r="C215" s="31" t="str">
        <x:v>JQH-L260826-TSA8</x:v>
      </x:c>
      <x:c r="D215" s="42" t="str">
        <x:v>Bangkok Pepper Tofu with Herb-Infused Noodle</x:v>
      </x:c>
      <x:c r="E215" s="36" t="n">
        <x:f>IFERROR('Source Data'!C215/'Source Data'!D215,0)</x:f>
        <x:v>8.25</x:v>
      </x:c>
      <x:c r="F215" s="44" t="n">
        <x:v>3</x:v>
      </x:c>
    </x:row>
    <x:row r="216">
      <x:c r="A216" s="34" t="n">
        <x:v>46260.5</x:v>
      </x:c>
      <x:c r="B216" s="31" t="str">
        <x:v>Tennessee</x:v>
      </x:c>
      <x:c r="C216" s="31" t="str">
        <x:v>JQH-L260826-TSA8</x:v>
      </x:c>
      <x:c r="D216" s="42" t="str">
        <x:v>Charcoal-Grilled BBQ Chicken Rice</x:v>
      </x:c>
      <x:c r="E216" s="36" t="n">
        <x:f>IFERROR('Source Data'!C216/'Source Data'!D216,0)</x:f>
        <x:v>9.5</x:v>
      </x:c>
      <x:c r="F216" s="44" t="n">
        <x:v>1</x:v>
      </x:c>
    </x:row>
    <x:row r="217">
      <x:c r="A217" s="34" t="n">
        <x:v>46260.5</x:v>
      </x:c>
      <x:c r="B217" s="31" t="str">
        <x:v>Tennessee</x:v>
      </x:c>
      <x:c r="C217" s="31" t="str">
        <x:v>JQH-L260826-TSA8</x:v>
      </x:c>
      <x:c r="D217" s="42" t="str">
        <x:v>Charcoal-Grilled BBQ Chicken Rice</x:v>
      </x:c>
      <x:c r="E217" s="36" t="n">
        <x:f>IFERROR('Source Data'!C217/'Source Data'!D217,0)</x:f>
        <x:v>9.5</x:v>
      </x:c>
      <x:c r="F217" s="44" t="n">
        <x:v>2</x:v>
      </x:c>
    </x:row>
    <x:row r="218">
      <x:c r="A218" s="34" t="n">
        <x:v>46260.5</x:v>
      </x:c>
      <x:c r="B218" s="31" t="str">
        <x:v>Tennessee</x:v>
      </x:c>
      <x:c r="C218" s="31" t="str">
        <x:v>JQH-L260826-TSA8</x:v>
      </x:c>
      <x:c r="D218" s="42" t="str">
        <x:v>Shredded Chicken Salad</x:v>
      </x:c>
      <x:c r="E218" s="36" t="n">
        <x:f>IFERROR('Source Data'!C218/'Source Data'!D218,0)</x:f>
        <x:v>8.75</x:v>
      </x:c>
      <x:c r="F218" s="44" t="n">
        <x:v>1</x:v>
      </x:c>
    </x:row>
    <x:row r="219">
      <x:c r="A219" s="34" t="n">
        <x:v>46260.5</x:v>
      </x:c>
      <x:c r="B219" s="31" t="str">
        <x:v>Tennessee</x:v>
      </x:c>
      <x:c r="C219" s="31" t="str">
        <x:v>JQH-L260826-TSA8</x:v>
      </x:c>
      <x:c r="D219" s="42" t="str">
        <x:v>Hatyai Crispy Chicken Noodles</x:v>
      </x:c>
      <x:c r="E219" s="36" t="n">
        <x:f>IFERROR('Source Data'!C219/'Source Data'!D219,0)</x:f>
        <x:v>9.5</x:v>
      </x:c>
      <x:c r="F219" s="44" t="n">
        <x:v>7</x:v>
      </x:c>
    </x:row>
    <x:row r="220">
      <x:c r="A220" s="34" t="n">
        <x:v>46260.5</x:v>
      </x:c>
      <x:c r="B220" s="31" t="str">
        <x:v>Tennessee</x:v>
      </x:c>
      <x:c r="C220" s="31" t="str">
        <x:v>JQH-L260826-TSA8</x:v>
      </x:c>
      <x:c r="D220" s="42" t="str">
        <x:v>Charcoal-Grilled BBQ Chicken Salad</x:v>
      </x:c>
      <x:c r="E220" s="36" t="n">
        <x:f>IFERROR('Source Data'!C220/'Source Data'!D220,0)</x:f>
        <x:v>9.5</x:v>
      </x:c>
      <x:c r="F220" s="44" t="n">
        <x:v>2</x:v>
      </x:c>
    </x:row>
    <x:row r="221">
      <x:c r="A221" s="34" t="n">
        <x:v>46260.5</x:v>
      </x:c>
      <x:c r="B221" s="31" t="str">
        <x:v>Tennessee</x:v>
      </x:c>
      <x:c r="C221" s="31" t="str">
        <x:v>JQH-L260826-TSA8</x:v>
      </x:c>
      <x:c r="D221" s="42" t="str">
        <x:v>Hatyai Crispy Chicken Rice</x:v>
      </x:c>
      <x:c r="E221" s="36" t="n">
        <x:f>IFERROR('Source Data'!C221/'Source Data'!D221,0)</x:f>
        <x:v>9.5</x:v>
      </x:c>
      <x:c r="F221" s="44" t="n">
        <x:v>3</x:v>
      </x:c>
    </x:row>
    <x:row r="222">
      <x:c r="A222" s="34" t="n">
        <x:v>46260.5</x:v>
      </x:c>
      <x:c r="B222" s="31" t="str">
        <x:v>Tennessee</x:v>
      </x:c>
      <x:c r="C222" s="31" t="str">
        <x:v>JQH-L260826-TSA8</x:v>
      </x:c>
      <x:c r="D222" s="42" t="str">
        <x:v>Hatyai Crispy Chicken Rice</x:v>
      </x:c>
      <x:c r="E222" s="36" t="n">
        <x:f>IFERROR('Source Data'!C222/'Source Data'!D222,0)</x:f>
        <x:v>9.5</x:v>
      </x:c>
      <x:c r="F222" s="44" t="n">
        <x:v>1</x:v>
      </x:c>
    </x:row>
    <x:row r="223">
      <x:c r="A223" s="34" t="n">
        <x:v>46260.5</x:v>
      </x:c>
      <x:c r="B223" s="31" t="str">
        <x:v>Tennessee</x:v>
      </x:c>
      <x:c r="C223" s="31" t="str">
        <x:v>JQH-L260826-TSA8</x:v>
      </x:c>
      <x:c r="D223" s="42" t="str">
        <x:v>Hatyai Crispy Chicken Salad with Side</x:v>
      </x:c>
      <x:c r="E223" s="36" t="n">
        <x:f>IFERROR('Source Data'!C223/'Source Data'!D223,0)</x:f>
        <x:v>9.5</x:v>
      </x:c>
      <x:c r="F223" s="44" t="n">
        <x:v>1</x:v>
      </x:c>
    </x:row>
    <x:row r="224">
      <x:c r="A224" s="34" t="n">
        <x:v>46260.5</x:v>
      </x:c>
      <x:c r="B224" s="31" t="str">
        <x:v>Tennessee</x:v>
      </x:c>
      <x:c r="C224" s="31" t="str">
        <x:v>JQH-L260826-TSA8</x:v>
      </x:c>
      <x:c r="D224" s="42" t="str">
        <x:v>Green Curry Charcoal-Grilled BBQ Chicken Rice</x:v>
      </x:c>
      <x:c r="E224" s="36" t="n">
        <x:f>IFERROR('Source Data'!C224/'Source Data'!D224,0)</x:f>
        <x:v>9.75</x:v>
      </x:c>
      <x:c r="F224" s="44" t="n">
        <x:v>5</x:v>
      </x:c>
    </x:row>
    <x:row r="225">
      <x:c r="A225" s="34" t="n">
        <x:v>46260.5</x:v>
      </x:c>
      <x:c r="B225" s="31" t="str">
        <x:v>Tennessee</x:v>
      </x:c>
      <x:c r="C225" s="31" t="str">
        <x:v>JQH-L260826-TSA8</x:v>
      </x:c>
      <x:c r="D225" s="42" t="str">
        <x:v>Green Curry Hatyai Crispy Chicken Rice</x:v>
      </x:c>
      <x:c r="E225" s="36" t="n">
        <x:f>IFERROR('Source Data'!C225/'Source Data'!D225,0)</x:f>
        <x:v>9.75</x:v>
      </x:c>
      <x:c r="F225" s="44" t="n">
        <x:v>7</x:v>
      </x:c>
    </x:row>
    <x:row r="226">
      <x:c r="A226" s="34" t="n">
        <x:v>46260.5</x:v>
      </x:c>
      <x:c r="B226" s="31" t="str">
        <x:v>Tennessee</x:v>
      </x:c>
      <x:c r="C226" s="31" t="str">
        <x:v>JQH-L260826-TSA8</x:v>
      </x:c>
      <x:c r="D226" s="42" t="str">
        <x:v>Shredded Chicken Noodles</x:v>
      </x:c>
      <x:c r="E226" s="36" t="n">
        <x:f>IFERROR('Source Data'!C226/'Source Data'!D226,0)</x:f>
        <x:v>8.25</x:v>
      </x:c>
      <x:c r="F226" s="44" t="n">
        <x:v>6</x:v>
      </x:c>
    </x:row>
    <x:row r="227">
      <x:c r="A227" s="34" t="n">
        <x:v>46260.5</x:v>
      </x:c>
      <x:c r="B227" s="31" t="str">
        <x:v>Tennessee</x:v>
      </x:c>
      <x:c r="C227" s="31" t="str">
        <x:v>JQH-L260826-TSA8</x:v>
      </x:c>
      <x:c r="D227" s="42" t="str">
        <x:v>Bangkok Pepper Tofu with Herb-Infused Noodle</x:v>
      </x:c>
      <x:c r="E227" s="36" t="n">
        <x:f>IFERROR('Source Data'!C227/'Source Data'!D227,0)</x:f>
        <x:v>8.25</x:v>
      </x:c>
      <x:c r="F227" s="44" t="n">
        <x:v>1</x:v>
      </x:c>
    </x:row>
    <x:row r="228">
      <x:c r="A228" s="34" t="n">
        <x:v>46260.5</x:v>
      </x:c>
      <x:c r="B228" s="31" t="str">
        <x:v>Tennessee</x:v>
      </x:c>
      <x:c r="C228" s="31" t="str">
        <x:v>JQH-L260826-TSA8</x:v>
      </x:c>
      <x:c r="D228" s="42" t="str">
        <x:v>Bangkok Pepper Tofu Noodles</x:v>
      </x:c>
      <x:c r="E228" s="36" t="n">
        <x:f>IFERROR('Source Data'!C228/'Source Data'!D228,0)</x:f>
        <x:v>8.25</x:v>
      </x:c>
      <x:c r="F228" s="44" t="n">
        <x:v>1</x:v>
      </x:c>
    </x:row>
    <x:row r="229">
      <x:c r="A229" s="34" t="n">
        <x:v>46260.5</x:v>
      </x:c>
      <x:c r="B229" s="31" t="str">
        <x:v>Tennessee</x:v>
      </x:c>
      <x:c r="C229" s="31" t="str">
        <x:v>JQH-L260826-TSA8</x:v>
      </x:c>
      <x:c r="D229" s="42" t="str">
        <x:v>Charcoal-Grilled BBQ Chicken Noodles</x:v>
      </x:c>
      <x:c r="E229" s="36" t="n">
        <x:f>IFERROR('Source Data'!C229/'Source Data'!D229,0)</x:f>
        <x:v>9.5</x:v>
      </x:c>
      <x:c r="F229" s="44" t="n">
        <x:v>1</x:v>
      </x:c>
    </x:row>
    <x:row r="230">
      <x:c r="A230" s="34" t="n">
        <x:v>46260.5</x:v>
      </x:c>
      <x:c r="B230" s="31" t="str">
        <x:v>Tennessee</x:v>
      </x:c>
      <x:c r="C230" s="31" t="str">
        <x:v>JQH-L260826-TSA8</x:v>
      </x:c>
      <x:c r="D230" s="42" t="str">
        <x:v>Shredded Chicken Salad</x:v>
      </x:c>
      <x:c r="E230" s="36" t="n">
        <x:f>IFERROR('Source Data'!C230/'Source Data'!D230,0)</x:f>
        <x:v>8.75</x:v>
      </x:c>
      <x:c r="F230" s="44" t="n">
        <x:v>1</x:v>
      </x:c>
    </x:row>
    <x:row r="231">
      <x:c r="A231" s="34" t="n">
        <x:v>46260.5</x:v>
      </x:c>
      <x:c r="B231" s="31" t="str">
        <x:v>Tennessee</x:v>
      </x:c>
      <x:c r="C231" s="31" t="str">
        <x:v>JQH-L260826-TSA8</x:v>
      </x:c>
      <x:c r="D231" s="42" t="str">
        <x:v>Gyoza with Thai Sweet Chili Sauce (4 pieces)</x:v>
      </x:c>
      <x:c r="E231" s="36" t="n">
        <x:f>IFERROR('Source Data'!C231/'Source Data'!D231,0)</x:f>
        <x:v>3</x:v>
      </x:c>
      <x:c r="F231" s="44" t="n">
        <x:v>2</x:v>
      </x:c>
    </x:row>
    <x:row r="232">
      <x:c r="A232" s="34" t="n">
        <x:v>46260.5</x:v>
      </x:c>
      <x:c r="B232" s="31" t="str">
        <x:v>Tennessee</x:v>
      </x:c>
      <x:c r="C232" s="31" t="str">
        <x:v>JQH-L260826-TSA8</x:v>
      </x:c>
      <x:c r="D232" s="42" t="str">
        <x:v>Bangkok Pepper Tofu (7 pieces)</x:v>
      </x:c>
      <x:c r="E232" s="36" t="n">
        <x:f>IFERROR('Source Data'!C232/'Source Data'!D232,0)</x:f>
        <x:v>4</x:v>
      </x:c>
      <x:c r="F232" s="44" t="n">
        <x:v>1</x:v>
      </x:c>
    </x:row>
    <x:row r="233">
      <x:c r="A233" s="34" t="n">
        <x:v>46260.5</x:v>
      </x:c>
      <x:c r="B233" s="31" t="str">
        <x:v>Tennessee</x:v>
      </x:c>
      <x:c r="C233" s="31" t="str">
        <x:v>JQH-L260826-TSA8</x:v>
      </x:c>
      <x:c r="D233" s="42" t="str">
        <x:v>Spring Roll with Thai Sweet Chilli Sauce (3 pieces)</x:v>
      </x:c>
      <x:c r="E233" s="36" t="n">
        <x:f>IFERROR('Source Data'!C233/'Source Data'!D233,0)</x:f>
        <x:v>3</x:v>
      </x:c>
      <x:c r="F233" s="44" t="n">
        <x:v>1</x:v>
      </x:c>
    </x:row>
    <x:row r="234">
      <x:c r="A234" s="34" t="n">
        <x:v>46260.5</x:v>
      </x:c>
      <x:c r="B234" s="31" t="str">
        <x:v>Tennessee</x:v>
      </x:c>
      <x:c r="C234" s="31" t="str">
        <x:v>PIJ-L260826-DJRZ</x:v>
      </x:c>
      <x:c r="D234" s="42" t="str">
        <x:v>Charcoal-Grilled BBQ Chicken Salad</x:v>
      </x:c>
      <x:c r="E234" s="36" t="n">
        <x:f>IFERROR('Source Data'!C234/'Source Data'!D234,0)</x:f>
        <x:v>9.5</x:v>
      </x:c>
      <x:c r="F234" s="44" t="n">
        <x:v>2</x:v>
      </x:c>
    </x:row>
    <x:row r="235">
      <x:c r="A235" s="34" t="n">
        <x:v>46260.5</x:v>
      </x:c>
      <x:c r="B235" s="31" t="str">
        <x:v>Tennessee</x:v>
      </x:c>
      <x:c r="C235" s="31" t="str">
        <x:v>PIJ-L260826-DJRZ</x:v>
      </x:c>
      <x:c r="D235" s="42" t="str">
        <x:v>Bangkok Pepper Tofu with Garlic Rice</x:v>
      </x:c>
      <x:c r="E235" s="36" t="n">
        <x:f>IFERROR('Source Data'!C235/'Source Data'!D235,0)</x:f>
        <x:v>7.25</x:v>
      </x:c>
      <x:c r="F235" s="44" t="n">
        <x:v>1</x:v>
      </x:c>
    </x:row>
    <x:row r="236">
      <x:c r="A236" s="34" t="n">
        <x:v>46260.5</x:v>
      </x:c>
      <x:c r="B236" s="31" t="str">
        <x:v>Tennessee</x:v>
      </x:c>
      <x:c r="C236" s="31" t="str">
        <x:v>PIJ-L260826-DJRZ</x:v>
      </x:c>
      <x:c r="D236" s="42" t="str">
        <x:v>Bangkok Pepper Tofu with Garlic Rice</x:v>
      </x:c>
      <x:c r="E236" s="36" t="n">
        <x:f>IFERROR('Source Data'!C236/'Source Data'!D236,0)</x:f>
        <x:v>7.25</x:v>
      </x:c>
      <x:c r="F236" s="44" t="n">
        <x:v>1</x:v>
      </x:c>
    </x:row>
    <x:row r="237">
      <x:c r="A237" s="34" t="n">
        <x:v>46260.5</x:v>
      </x:c>
      <x:c r="B237" s="31" t="str">
        <x:v>Tennessee</x:v>
      </x:c>
      <x:c r="C237" s="31" t="str">
        <x:v>PIJ-L260826-DJRZ</x:v>
      </x:c>
      <x:c r="D237" s="42" t="str">
        <x:v>Bangkok Pepper Tofu Noodles</x:v>
      </x:c>
      <x:c r="E237" s="36" t="n">
        <x:f>IFERROR('Source Data'!C237/'Source Data'!D237,0)</x:f>
        <x:v>8.25</x:v>
      </x:c>
      <x:c r="F237" s="44" t="n">
        <x:v>1</x:v>
      </x:c>
    </x:row>
    <x:row r="238">
      <x:c r="A238" s="34" t="n">
        <x:v>46260.5</x:v>
      </x:c>
      <x:c r="B238" s="31" t="str">
        <x:v>Tennessee</x:v>
      </x:c>
      <x:c r="C238" s="31" t="str">
        <x:v>PIJ-L260826-DJRZ</x:v>
      </x:c>
      <x:c r="D238" s="42" t="str">
        <x:v>Green Curry Hatyai Crispy Chicken Rice</x:v>
      </x:c>
      <x:c r="E238" s="36" t="n">
        <x:f>IFERROR('Source Data'!C238/'Source Data'!D238,0)</x:f>
        <x:v>9.75</x:v>
      </x:c>
      <x:c r="F238" s="44" t="n">
        <x:v>3</x:v>
      </x:c>
    </x:row>
    <x:row r="239">
      <x:c r="A239" s="34" t="n">
        <x:v>46260.5</x:v>
      </x:c>
      <x:c r="B239" s="31" t="str">
        <x:v>Tennessee</x:v>
      </x:c>
      <x:c r="C239" s="31" t="str">
        <x:v>PIJ-L260826-DJRZ</x:v>
      </x:c>
      <x:c r="D239" s="42" t="str">
        <x:v>Green Curry Hatyai Crispy Chicken Rice</x:v>
      </x:c>
      <x:c r="E239" s="36" t="n">
        <x:f>IFERROR('Source Data'!C239/'Source Data'!D239,0)</x:f>
        <x:v>9.75</x:v>
      </x:c>
      <x:c r="F239" s="44" t="n">
        <x:v>2</x:v>
      </x:c>
    </x:row>
    <x:row r="240">
      <x:c r="A240" s="34" t="n">
        <x:v>46260.5</x:v>
      </x:c>
      <x:c r="B240" s="31" t="str">
        <x:v>Tennessee</x:v>
      </x:c>
      <x:c r="C240" s="31" t="str">
        <x:v>PIJ-L260826-DJRZ</x:v>
      </x:c>
      <x:c r="D240" s="42" t="str">
        <x:v>Charcoal-Grilled BBQ Chicken Rice</x:v>
      </x:c>
      <x:c r="E240" s="36" t="n">
        <x:f>IFERROR('Source Data'!C240/'Source Data'!D240,0)</x:f>
        <x:v>9.5</x:v>
      </x:c>
      <x:c r="F240" s="44" t="n">
        <x:v>1</x:v>
      </x:c>
    </x:row>
    <x:row r="241">
      <x:c r="A241" s="34" t="n">
        <x:v>46260.5</x:v>
      </x:c>
      <x:c r="B241" s="31" t="str">
        <x:v>Tennessee</x:v>
      </x:c>
      <x:c r="C241" s="31" t="str">
        <x:v>PIJ-L260826-DJRZ</x:v>
      </x:c>
      <x:c r="D241" s="42" t="str">
        <x:v>Charcoal-Grilled BBQ Chicken Rice</x:v>
      </x:c>
      <x:c r="E241" s="36" t="n">
        <x:f>IFERROR('Source Data'!C241/'Source Data'!D241,0)</x:f>
        <x:v>9.5</x:v>
      </x:c>
      <x:c r="F241" s="44" t="n">
        <x:v>2</x:v>
      </x:c>
    </x:row>
    <x:row r="242">
      <x:c r="A242" s="34" t="n">
        <x:v>46260.5</x:v>
      </x:c>
      <x:c r="B242" s="31" t="str">
        <x:v>Tennessee</x:v>
      </x:c>
      <x:c r="C242" s="31" t="str">
        <x:v>PIJ-L260826-DJRZ</x:v>
      </x:c>
      <x:c r="D242" s="42" t="str">
        <x:v>Hatyai Crispy Chicken Rice</x:v>
      </x:c>
      <x:c r="E242" s="36" t="n">
        <x:f>IFERROR('Source Data'!C242/'Source Data'!D242,0)</x:f>
        <x:v>9.5</x:v>
      </x:c>
      <x:c r="F242" s="44" t="n">
        <x:v>1</x:v>
      </x:c>
    </x:row>
    <x:row r="243">
      <x:c r="A243" s="34" t="n">
        <x:v>46260.5</x:v>
      </x:c>
      <x:c r="B243" s="31" t="str">
        <x:v>Tennessee</x:v>
      </x:c>
      <x:c r="C243" s="31" t="str">
        <x:v>PIJ-L260826-DJRZ</x:v>
      </x:c>
      <x:c r="D243" s="42" t="str">
        <x:v>Hatyai Crispy Chicken Rice</x:v>
      </x:c>
      <x:c r="E243" s="36" t="n">
        <x:f>IFERROR('Source Data'!C243/'Source Data'!D243,0)</x:f>
        <x:v>9.5</x:v>
      </x:c>
      <x:c r="F243" s="44" t="n">
        <x:v>2</x:v>
      </x:c>
    </x:row>
    <x:row r="244">
      <x:c r="A244" s="34" t="n">
        <x:v>46260.5</x:v>
      </x:c>
      <x:c r="B244" s="31" t="str">
        <x:v>Tennessee</x:v>
      </x:c>
      <x:c r="C244" s="31" t="str">
        <x:v>PIJ-L260826-DJRZ</x:v>
      </x:c>
      <x:c r="D244" s="42" t="str">
        <x:v>Charcoal-Grilled BBQ Chicken Noodles</x:v>
      </x:c>
      <x:c r="E244" s="36" t="n">
        <x:f>IFERROR('Source Data'!C244/'Source Data'!D244,0)</x:f>
        <x:v>9.5</x:v>
      </x:c>
      <x:c r="F244" s="44" t="n">
        <x:v>6</x:v>
      </x:c>
    </x:row>
    <x:row r="245">
      <x:c r="A245" s="34" t="n">
        <x:v>46260.5</x:v>
      </x:c>
      <x:c r="B245" s="31" t="str">
        <x:v>Tennessee</x:v>
      </x:c>
      <x:c r="C245" s="31" t="str">
        <x:v>PIJ-L260826-DJRZ</x:v>
      </x:c>
      <x:c r="D245" s="42" t="str">
        <x:v>Hatyai Crispy Chicken Noodles</x:v>
      </x:c>
      <x:c r="E245" s="36" t="n">
        <x:f>IFERROR('Source Data'!C245/'Source Data'!D245,0)</x:f>
        <x:v>9.5</x:v>
      </x:c>
      <x:c r="F245" s="44" t="n">
        <x:v>2</x:v>
      </x:c>
    </x:row>
    <x:row r="246">
      <x:c r="A246" s="34" t="n">
        <x:v>46260.5</x:v>
      </x:c>
      <x:c r="B246" s="31" t="str">
        <x:v>Tennessee</x:v>
      </x:c>
      <x:c r="C246" s="31" t="str">
        <x:v>PIJ-L260826-DJRZ</x:v>
      </x:c>
      <x:c r="D246" s="42" t="str">
        <x:v>(NO CHICHARRON )Shredded Chicken Noodles</x:v>
      </x:c>
      <x:c r="E246" s="36" t="n">
        <x:f>IFERROR('Source Data'!C246/'Source Data'!D246,0)</x:f>
        <x:v>8.25</x:v>
      </x:c>
      <x:c r="F246" s="44" t="n">
        <x:v>1</x:v>
      </x:c>
    </x:row>
    <x:row r="247">
      <x:c r="A247" s="34" t="n">
        <x:v>46260.5</x:v>
      </x:c>
      <x:c r="B247" s="31" t="str">
        <x:v>Tennessee</x:v>
      </x:c>
      <x:c r="C247" s="31" t="str">
        <x:v>PIJ-L260826-DJRZ</x:v>
      </x:c>
      <x:c r="D247" s="42" t="str">
        <x:v>Bangkok Pepper Tofu with Herb-Infused Noodle</x:v>
      </x:c>
      <x:c r="E247" s="36" t="n">
        <x:f>IFERROR('Source Data'!C247/'Source Data'!D247,0)</x:f>
        <x:v>8.25</x:v>
      </x:c>
      <x:c r="F247" s="44" t="n">
        <x:v>2</x:v>
      </x:c>
    </x:row>
    <x:row r="248">
      <x:c r="A248" s="34" t="n">
        <x:v>46260.5</x:v>
      </x:c>
      <x:c r="B248" s="31" t="str">
        <x:v>Tennessee</x:v>
      </x:c>
      <x:c r="C248" s="31" t="str">
        <x:v>PIJ-L260826-DJRZ</x:v>
      </x:c>
      <x:c r="D248" s="42" t="str">
        <x:v>Green Curry Charcoal-Grilled BBQ Chicken Rice</x:v>
      </x:c>
      <x:c r="E248" s="36" t="n">
        <x:f>IFERROR('Source Data'!C248/'Source Data'!D248,0)</x:f>
        <x:v>9.75</x:v>
      </x:c>
      <x:c r="F248" s="44" t="n">
        <x:v>3</x:v>
      </x:c>
    </x:row>
    <x:row r="249">
      <x:c r="A249" s="34" t="n">
        <x:v>46260.5</x:v>
      </x:c>
      <x:c r="B249" s="31" t="str">
        <x:v>Tennessee</x:v>
      </x:c>
      <x:c r="C249" s="31" t="str">
        <x:v>PIJ-L260826-DJRZ</x:v>
      </x:c>
      <x:c r="D249" s="42" t="str">
        <x:v>Hatyai Crispy Chicken Salad with Side</x:v>
      </x:c>
      <x:c r="E249" s="36" t="n">
        <x:f>IFERROR('Source Data'!C249/'Source Data'!D249,0)</x:f>
        <x:v>9.5</x:v>
      </x:c>
      <x:c r="F249" s="44" t="n">
        <x:v>1</x:v>
      </x:c>
    </x:row>
    <x:row r="250">
      <x:c r="A250" s="34" t="n">
        <x:v>46260.5</x:v>
      </x:c>
      <x:c r="B250" s="31" t="str">
        <x:v>Tennessee</x:v>
      </x:c>
      <x:c r="C250" s="31" t="str">
        <x:v>PIJ-L260826-DJRZ</x:v>
      </x:c>
      <x:c r="D250" s="42" t="str">
        <x:v>Shredded Chicken Noodles</x:v>
      </x:c>
      <x:c r="E250" s="36" t="n">
        <x:f>IFERROR('Source Data'!C250/'Source Data'!D250,0)</x:f>
        <x:v>8.25</x:v>
      </x:c>
      <x:c r="F250" s="44" t="n">
        <x:v>3</x:v>
      </x:c>
    </x:row>
    <x:row r="251">
      <x:c r="A251" s="34" t="n">
        <x:v>46260.5</x:v>
      </x:c>
      <x:c r="B251" s="31" t="str">
        <x:v>Tennessee</x:v>
      </x:c>
      <x:c r="C251" s="31" t="str">
        <x:v>PIJ-L260826-DJRZ</x:v>
      </x:c>
      <x:c r="D251" s="42" t="str">
        <x:v>Charcoal-Grilled BBQ Chicken Salad</x:v>
      </x:c>
      <x:c r="E251" s="36" t="n">
        <x:f>IFERROR('Source Data'!C251/'Source Data'!D251,0)</x:f>
        <x:v>9.5</x:v>
      </x:c>
      <x:c r="F251" s="44" t="n">
        <x:v>1</x:v>
      </x:c>
    </x:row>
    <x:row r="252">
      <x:c r="A252" s="34" t="n">
        <x:v>46260.5</x:v>
      </x:c>
      <x:c r="B252" s="31" t="str">
        <x:v>Tennessee</x:v>
      </x:c>
      <x:c r="C252" s="31" t="str">
        <x:v>PIJ-L260826-DJRZ</x:v>
      </x:c>
      <x:c r="D252" s="42" t="str">
        <x:v>Spring Roll with Thai Sweet Chilli Sauce (3 pieces)</x:v>
      </x:c>
      <x:c r="E252" s="36" t="n">
        <x:f>IFERROR('Source Data'!C252/'Source Data'!D252,0)</x:f>
        <x:v>3</x:v>
      </x:c>
      <x:c r="F252" s="44" t="n">
        <x:v>4</x:v>
      </x:c>
    </x:row>
    <x:row r="253">
      <x:c r="A253" s="34" t="n">
        <x:v>46260.5</x:v>
      </x:c>
      <x:c r="B253" s="31" t="str">
        <x:v>Tennessee</x:v>
      </x:c>
      <x:c r="C253" s="31" t="str">
        <x:v>PIJ-L260826-DJRZ</x:v>
      </x:c>
      <x:c r="D253" s="42" t="str">
        <x:v>Chili Jaew Sauce</x:v>
      </x:c>
      <x:c r="E253" s="36" t="n">
        <x:f>IFERROR('Source Data'!C253/'Source Data'!D253,0)</x:f>
        <x:v>0.75</x:v>
      </x:c>
      <x:c r="F253" s="44" t="n">
        <x:v>1</x:v>
      </x:c>
    </x:row>
    <x:row r="254">
      <x:c r="A254" s="34" t="n">
        <x:v>46260.5</x:v>
      </x:c>
      <x:c r="B254" s="31" t="str">
        <x:v>Tennessee</x:v>
      </x:c>
      <x:c r="C254" s="31" t="str">
        <x:v>SEC-L260826-N562</x:v>
      </x:c>
      <x:c r="D254" s="42" t="str">
        <x:v>Shredded Chicken Salad</x:v>
      </x:c>
      <x:c r="E254" s="36" t="n">
        <x:f>IFERROR('Source Data'!C254/'Source Data'!D254,0)</x:f>
        <x:v>8.75</x:v>
      </x:c>
      <x:c r="F254" s="44" t="n">
        <x:v>1</x:v>
      </x:c>
    </x:row>
    <x:row r="255">
      <x:c r="A255" s="34" t="n">
        <x:v>46260.5</x:v>
      </x:c>
      <x:c r="B255" s="31" t="str">
        <x:v>Tennessee</x:v>
      </x:c>
      <x:c r="C255" s="31" t="str">
        <x:v>SEC-L260826-N562</x:v>
      </x:c>
      <x:c r="D255" s="42" t="str">
        <x:v>(NO CHICHARRON )Shredded Chicken Noodles</x:v>
      </x:c>
      <x:c r="E255" s="36" t="n">
        <x:f>IFERROR('Source Data'!C255/'Source Data'!D255,0)</x:f>
        <x:v>8.25</x:v>
      </x:c>
      <x:c r="F255" s="44" t="n">
        <x:v>1</x:v>
      </x:c>
    </x:row>
    <x:row r="256">
      <x:c r="A256" s="34" t="n">
        <x:v>46260.5</x:v>
      </x:c>
      <x:c r="B256" s="31" t="str">
        <x:v>Tennessee</x:v>
      </x:c>
      <x:c r="C256" s="31" t="str">
        <x:v>SEC-L260826-N562</x:v>
      </x:c>
      <x:c r="D256" s="42" t="str">
        <x:v>Green Curry Hatyai Crispy Chicken Rice</x:v>
      </x:c>
      <x:c r="E256" s="36" t="n">
        <x:f>IFERROR('Source Data'!C256/'Source Data'!D256,0)</x:f>
        <x:v>9.75</x:v>
      </x:c>
      <x:c r="F256" s="44" t="n">
        <x:v>1</x:v>
      </x:c>
    </x:row>
    <x:row r="257">
      <x:c r="A257" s="34" t="n">
        <x:v>46260.5</x:v>
      </x:c>
      <x:c r="B257" s="31" t="str">
        <x:v>Tennessee</x:v>
      </x:c>
      <x:c r="C257" s="31" t="str">
        <x:v>SEC-L260826-N562</x:v>
      </x:c>
      <x:c r="D257" s="42" t="str">
        <x:v>Charcoal-Grilled BBQ Chicken Noodles</x:v>
      </x:c>
      <x:c r="E257" s="36" t="n">
        <x:f>IFERROR('Source Data'!C257/'Source Data'!D257,0)</x:f>
        <x:v>9.5</x:v>
      </x:c>
      <x:c r="F257" s="44" t="n">
        <x:v>1</x:v>
      </x:c>
    </x:row>
    <x:row r="258">
      <x:c r="A258" s="34" t="n">
        <x:v>46260.5</x:v>
      </x:c>
      <x:c r="B258" s="31" t="str">
        <x:v>Tennessee</x:v>
      </x:c>
      <x:c r="C258" s="31" t="str">
        <x:v>SEC-L260826-N562</x:v>
      </x:c>
      <x:c r="D258" s="42" t="str">
        <x:v>Hatyai Crispy Chicken Noodles</x:v>
      </x:c>
      <x:c r="E258" s="36" t="n">
        <x:f>IFERROR('Source Data'!C258/'Source Data'!D258,0)</x:f>
        <x:v>9.5</x:v>
      </x:c>
      <x:c r="F258" s="44" t="n">
        <x:v>2</x:v>
      </x:c>
    </x:row>
    <x:row r="259">
      <x:c r="A259" s="34" t="n">
        <x:v>46260.5</x:v>
      </x:c>
      <x:c r="B259" s="31" t="str">
        <x:v>Tennessee</x:v>
      </x:c>
      <x:c r="C259" s="31" t="str">
        <x:v>SEC-L260826-N562</x:v>
      </x:c>
      <x:c r="D259" s="42" t="str">
        <x:v>Shredded Chicken Noodles</x:v>
      </x:c>
      <x:c r="E259" s="36" t="n">
        <x:f>IFERROR('Source Data'!C259/'Source Data'!D259,0)</x:f>
        <x:v>8.25</x:v>
      </x:c>
      <x:c r="F259" s="44" t="n">
        <x:v>1</x:v>
      </x:c>
    </x:row>
    <x:row r="260">
      <x:c r="A260" s="34" t="n">
        <x:v>46260.5</x:v>
      </x:c>
      <x:c r="B260" s="31" t="str">
        <x:v>Tennessee</x:v>
      </x:c>
      <x:c r="C260" s="31" t="str">
        <x:v>SEC-L260826-N562</x:v>
      </x:c>
      <x:c r="D260" s="42" t="str">
        <x:v>Gyoza with Thai Sweet Chili Sauce (4 pieces)</x:v>
      </x:c>
      <x:c r="E260" s="36" t="n">
        <x:f>IFERROR('Source Data'!C260/'Source Data'!D260,0)</x:f>
        <x:v>3</x:v>
      </x:c>
      <x:c r="F260" s="44" t="n">
        <x:v>2</x:v>
      </x:c>
    </x:row>
    <x:row r="261">
      <x:c r="A261" s="34" t="n">
        <x:v>46260.5</x:v>
      </x:c>
      <x:c r="B261" s="31" t="str">
        <x:v>Tennessee</x:v>
      </x:c>
      <x:c r="C261" s="31" t="str">
        <x:v>SEC-L260826-N562</x:v>
      </x:c>
      <x:c r="D261" s="42" t="str">
        <x:v>Spring Roll with Thai Sweet Chilli Sauce (3 pieces)</x:v>
      </x:c>
      <x:c r="E261" s="36" t="n">
        <x:f>IFERROR('Source Data'!C261/'Source Data'!D261,0)</x:f>
        <x:v>3</x:v>
      </x:c>
      <x:c r="F261" s="44" t="n">
        <x:v>3</x:v>
      </x:c>
    </x:row>
    <x:row r="262">
      <x:c r="A262" s="34" t="n">
        <x:v>46260.5</x:v>
      </x:c>
      <x:c r="B262" s="31" t="str">
        <x:v>Tennessee</x:v>
      </x:c>
      <x:c r="C262" s="31" t="str">
        <x:v>SEC-L260826-N562</x:v>
      </x:c>
      <x:c r="D262" s="42" t="str">
        <x:v>Bangkok Pepper Tofu (7 pieces)</x:v>
      </x:c>
      <x:c r="E262" s="36" t="n">
        <x:f>IFERROR('Source Data'!C262/'Source Data'!D262,0)</x:f>
        <x:v>4</x:v>
      </x:c>
      <x:c r="F262" s="44" t="n">
        <x:v>2</x:v>
      </x:c>
    </x:row>
    <x:row r="263">
      <x:c r="A263" s="34" t="n">
        <x:v>46262.5</x:v>
      </x:c>
      <x:c r="B263" s="31" t="str">
        <x:v>Tennessee</x:v>
      </x:c>
      <x:c r="C263" s="31" t="str">
        <x:v>KNH-L260828-41ET</x:v>
      </x:c>
      <x:c r="D263" s="42" t="str">
        <x:v>Green Curry Hatyai Crispy Chicken Rice</x:v>
      </x:c>
      <x:c r="E263" s="36" t="n">
        <x:f>IFERROR('Source Data'!C263/'Source Data'!D263,0)</x:f>
        <x:v>9.75</x:v>
      </x:c>
      <x:c r="F263" s="44" t="n">
        <x:v>1</x:v>
      </x:c>
    </x:row>
    <x:row r="264">
      <x:c r="A264" s="34" t="n">
        <x:v>46262.5</x:v>
      </x:c>
      <x:c r="B264" s="31" t="str">
        <x:v>Tennessee</x:v>
      </x:c>
      <x:c r="C264" s="31" t="str">
        <x:v>KNH-L260828-41ET</x:v>
      </x:c>
      <x:c r="D264" s="42" t="str">
        <x:v>Shredded Chicken Noodles</x:v>
      </x:c>
      <x:c r="E264" s="36" t="n">
        <x:f>IFERROR('Source Data'!C264/'Source Data'!D264,0)</x:f>
        <x:v>8.25</x:v>
      </x:c>
      <x:c r="F264" s="44" t="n">
        <x:v>2</x:v>
      </x:c>
    </x:row>
    <x:row r="265">
      <x:c r="A265" s="34" t="n">
        <x:v>46262.5</x:v>
      </x:c>
      <x:c r="B265" s="31" t="str">
        <x:v>Tennessee</x:v>
      </x:c>
      <x:c r="C265" s="31" t="str">
        <x:v>KNH-L260828-41ET</x:v>
      </x:c>
      <x:c r="D265" s="42" t="str">
        <x:v>Chili Jaew Sauce</x:v>
      </x:c>
      <x:c r="E265" s="36" t="n">
        <x:f>IFERROR('Source Data'!C265/'Source Data'!D265,0)</x:f>
        <x:v>0.75</x:v>
      </x:c>
      <x:c r="F265" s="44" t="n">
        <x:v>1</x:v>
      </x:c>
    </x:row>
    <x:row r="266">
      <x:c r="A266" s="34" t="n">
        <x:v>46262.5</x:v>
      </x:c>
      <x:c r="B266" s="31" t="str">
        <x:v>Tennessee</x:v>
      </x:c>
      <x:c r="C266" s="31" t="str">
        <x:v>KNH-L260828-41ET</x:v>
      </x:c>
      <x:c r="D266" s="42" t="str">
        <x:v>Bangkok Pepper Tofu (7 pieces)</x:v>
      </x:c>
      <x:c r="E266" s="36" t="n">
        <x:f>IFERROR('Source Data'!C266/'Source Data'!D266,0)</x:f>
        <x:v>4</x:v>
      </x:c>
      <x:c r="F266" s="44" t="n">
        <x:v>1</x:v>
      </x:c>
    </x:row>
    <x:row r="267">
      <x:c r="A267" s="34" t="n">
        <x:v>46265.5</x:v>
      </x:c>
      <x:c r="B267" s="31" t="str">
        <x:v>Tennessee</x:v>
      </x:c>
      <x:c r="C267" s="31" t="str">
        <x:v>NGJ-L260831-5PR7</x:v>
      </x:c>
      <x:c r="D267" s="42" t="str">
        <x:v>Green Curry Charcoal-Grilled BBQ Chicken Rice</x:v>
      </x:c>
      <x:c r="E267" s="36" t="n">
        <x:f>IFERROR('Source Data'!C267/'Source Data'!D267,0)</x:f>
        <x:v>9.75</x:v>
      </x:c>
      <x:c r="F267" s="44" t="n">
        <x:v>3</x:v>
      </x:c>
    </x:row>
    <x:row r="268">
      <x:c r="A268" s="34" t="n">
        <x:v>46265.5</x:v>
      </x:c>
      <x:c r="B268" s="31" t="str">
        <x:v>Tennessee</x:v>
      </x:c>
      <x:c r="C268" s="31" t="str">
        <x:v>NGJ-L260831-5PR7</x:v>
      </x:c>
      <x:c r="D268" s="42" t="str">
        <x:v>Hatyai Crispy Chicken Rice</x:v>
      </x:c>
      <x:c r="E268" s="36" t="n">
        <x:f>IFERROR('Source Data'!C268/'Source Data'!D268,0)</x:f>
        <x:v>9.5</x:v>
      </x:c>
      <x:c r="F268" s="44" t="n">
        <x:v>3</x:v>
      </x:c>
    </x:row>
    <x:row r="269">
      <x:c r="A269" s="34" t="n">
        <x:v>46265.5</x:v>
      </x:c>
      <x:c r="B269" s="31" t="str">
        <x:v>Tennessee</x:v>
      </x:c>
      <x:c r="C269" s="31" t="str">
        <x:v>NGJ-L260831-5PR7</x:v>
      </x:c>
      <x:c r="D269" s="42" t="str">
        <x:v>Charcoal-Grilled BBQ Chicken Noodles</x:v>
      </x:c>
      <x:c r="E269" s="36" t="n">
        <x:f>IFERROR('Source Data'!C269/'Source Data'!D269,0)</x:f>
        <x:v>9.5</x:v>
      </x:c>
      <x:c r="F269" s="44" t="n">
        <x:v>3</x:v>
      </x:c>
    </x:row>
    <x:row r="270">
      <x:c r="A270" s="34" t="n">
        <x:v>46265.5</x:v>
      </x:c>
      <x:c r="B270" s="31" t="str">
        <x:v>Tennessee</x:v>
      </x:c>
      <x:c r="C270" s="31" t="str">
        <x:v>NGJ-L260831-5PR7</x:v>
      </x:c>
      <x:c r="D270" s="42" t="str">
        <x:v>Charcoal-Grilled BBQ Chicken (10 lbs) – Full Tray (Large standard depth tray size, Serves 20)</x:v>
      </x:c>
      <x:c r="E270" s="36" t="n">
        <x:f>IFERROR('Source Data'!C270/'Source Data'!D270,0)</x:f>
        <x:v>100</x:v>
      </x:c>
      <x:c r="F270" s="44" t="n">
        <x:v>4</x:v>
      </x:c>
    </x:row>
    <x:row r="271">
      <x:c r="A271" s="34" t="n">
        <x:v>46265.5</x:v>
      </x:c>
      <x:c r="B271" s="31" t="str">
        <x:v>Tennessee</x:v>
      </x:c>
      <x:c r="C271" s="31" t="str">
        <x:v>NGJ-L260831-5PR7</x:v>
      </x:c>
      <x:c r="D271" s="42" t="str">
        <x:v>Hatyai Crispy Chicken (10 lbs) – Full Tray (Large standard depth tray size, Serves 20)</x:v>
      </x:c>
      <x:c r="E271" s="36" t="n">
        <x:f>IFERROR('Source Data'!C271/'Source Data'!D271,0)</x:f>
        <x:v>100</x:v>
      </x:c>
      <x:c r="F271" s="44" t="n">
        <x:v>3</x:v>
      </x:c>
    </x:row>
    <x:row r="272">
      <x:c r="A272" s="34" t="n">
        <x:v>46265.5</x:v>
      </x:c>
      <x:c r="B272" s="31" t="str">
        <x:v>Tennessee</x:v>
      </x:c>
      <x:c r="C272" s="31" t="str">
        <x:v>NGJ-L260831-5PR7</x:v>
      </x:c>
      <x:c r="D272" s="42" t="str">
        <x:v>Spicy Thai Basil Pork (10 Lbs) - Full Tray (Large standard depth tray size, Serves 20)</x:v>
      </x:c>
      <x:c r="E272" s="36" t="n">
        <x:f>IFERROR('Source Data'!C272/'Source Data'!D272,0)</x:f>
        <x:v>100</x:v>
      </x:c>
      <x:c r="F272" s="44" t="n">
        <x:v>3</x:v>
      </x:c>
    </x:row>
    <x:row r="273">
      <x:c r="A273" s="34" t="n">
        <x:v>46265.5</x:v>
      </x:c>
      <x:c r="B273" s="31" t="str">
        <x:v>Tennessee</x:v>
      </x:c>
      <x:c r="C273" s="31" t="str">
        <x:v>NGJ-L260831-5PR7</x:v>
      </x:c>
      <x:c r="D273" s="42" t="str">
        <x:v>Vegetarian Yellow Curry (10 lbs) – Full Tray (NOT Spicy) (Large standard depth tray size, Serves 20)</x:v>
      </x:c>
      <x:c r="E273" s="36" t="n">
        <x:f>IFERROR('Source Data'!C273/'Source Data'!D273,0)</x:f>
        <x:v>75</x:v>
      </x:c>
      <x:c r="F273" s="44" t="n">
        <x:v>3</x:v>
      </x:c>
    </x:row>
    <x:row r="274">
      <x:c r="A274" s="34" t="n">
        <x:v>46265.5</x:v>
      </x:c>
      <x:c r="B274" s="31" t="str">
        <x:v>Tennessee</x:v>
      </x:c>
      <x:c r="C274" s="31" t="str">
        <x:v>NGJ-L260831-5PR7</x:v>
      </x:c>
      <x:c r="D274" s="42" t="str">
        <x:v>Bangkok Pepper Tofu – Full Tray (10 pounds, Serves 20)</x:v>
      </x:c>
      <x:c r="E274" s="36" t="n">
        <x:f>IFERROR('Source Data'!C274/'Source Data'!D274,0)</x:f>
        <x:v>120</x:v>
      </x:c>
      <x:c r="F274" s="44" t="n">
        <x:v>2</x:v>
      </x:c>
    </x:row>
    <x:row r="275">
      <x:c r="A275" s="34" t="n">
        <x:v>46265.5</x:v>
      </x:c>
      <x:c r="B275" s="31" t="str">
        <x:v>Tennessee</x:v>
      </x:c>
      <x:c r="C275" s="31" t="str">
        <x:v>NGJ-L260831-5PR7</x:v>
      </x:c>
      <x:c r="D275" s="42" t="str">
        <x:v>Noodles (10 lbs) – Full Tray (Large standard depth tray size, Serves 20)</x:v>
      </x:c>
      <x:c r="E275" s="36" t="n">
        <x:f>IFERROR('Source Data'!C275/'Source Data'!D275,0)</x:f>
        <x:v>50</x:v>
      </x:c>
      <x:c r="F275" s="44" t="n">
        <x:v>5</x:v>
      </x:c>
    </x:row>
    <x:row r="276">
      <x:c r="A276" s="34" t="n">
        <x:v>46265.5</x:v>
      </x:c>
      <x:c r="B276" s="31" t="str">
        <x:v>Tennessee</x:v>
      </x:c>
      <x:c r="C276" s="31" t="str">
        <x:v>NGJ-L260831-5PR7</x:v>
      </x:c>
      <x:c r="D276" s="42" t="str">
        <x:v>Rice (10 lbs) – Full Tray (Large standard depth tray size, Serves 20)</x:v>
      </x:c>
      <x:c r="E276" s="36" t="n">
        <x:f>IFERROR('Source Data'!C276/'Source Data'!D276,0)</x:f>
        <x:v>30</x:v>
      </x:c>
      <x:c r="F276" s="44" t="n">
        <x:v>4</x:v>
      </x:c>
    </x:row>
    <x:row r="277">
      <x:c r="A277" s="34" t="n">
        <x:v>46265.5</x:v>
      </x:c>
      <x:c r="B277" s="31" t="str">
        <x:v>Tennessee</x:v>
      </x:c>
      <x:c r="C277" s="31" t="str">
        <x:v>NGJ-L260831-5PR7</x:v>
      </x:c>
      <x:c r="D277" s="42" t="str">
        <x:v>Salad Base (5 lbs) – Full Tray (Large standard depth tray size, Serves 20)</x:v>
      </x:c>
      <x:c r="E277" s="36" t="n">
        <x:f>IFERROR('Source Data'!C277/'Source Data'!D277,0)</x:f>
        <x:v>41</x:v>
      </x:c>
      <x:c r="F277" s="44" t="n">
        <x:v>7</x:v>
      </x:c>
    </x:row>
    <x:row r="278">
      <x:c r="A278" s="34" t="n">
        <x:v>46265.5</x:v>
      </x:c>
      <x:c r="B278" s="31" t="str">
        <x:v>Tennessee</x:v>
      </x:c>
      <x:c r="C278" s="31" t="str">
        <x:v>NGJ-L260831-5PR7</x:v>
      </x:c>
      <x:c r="D278" s="42" t="str">
        <x:v>Thai Sweet Chili Sauce (16 oz, Serves 4)</x:v>
      </x:c>
      <x:c r="E278" s="36" t="n">
        <x:f>IFERROR('Source Data'!C278/'Source Data'!D278,0)</x:f>
        <x:v>6</x:v>
      </x:c>
      <x:c r="F278" s="44" t="n">
        <x:v>6</x:v>
      </x:c>
    </x:row>
  </x:sheetData>
  <x:mergeCells>
    <x:mergeCell ref="A1:F1"/>
    <x:mergeCell ref="A2:F2"/>
  </x:mergeCells>
  <x:conditionalFormatting sqref="A5:F278">
    <x:cfRule type="expression" dxfId="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381148c84644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19" hidden="0" customWidth="1"/>
    <x:col min="4" max="4" width="17" hidden="0" customWidth="1"/>
    <x:col min="5" max="5" width="3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ClubFeast — Source &amp; Scope Check</x:v>
      </x:c>
      <x:c r="B1" s="3"/>
      <x:c r="C1" s="3"/>
      <x:c r="D1" s="3"/>
      <x:c r="E1" s="3"/>
      <x:c r="F1" s="3"/>
      <x:c r="G1" s="3"/>
      <x:c r="H1" s="3"/>
    </x:row>
    <x:row r="2" ht="38" customHeight="1">
      <x:c r="A2" s="7" t="str">
        <x:v>Menu Pricing is formula-driven as source Line Total divided by source Quantity. Location counts reconcile the account-wide August extraction.</x:v>
      </x:c>
      <x:c r="B2" s="7"/>
      <x:c r="C2" s="7"/>
      <x:c r="D2" s="7"/>
      <x:c r="E2" s="7"/>
      <x:c r="F2" s="7"/>
      <x:c r="G2" s="7"/>
      <x:c r="H2" s="7"/>
    </x:row>
    <x:row r="3" ht="10" customHeight="1"/>
    <x:row r="4" ht="34" customHeight="1">
      <x:c r="A4" s="16" t="str">
        <x:v>Order ID</x:v>
      </x:c>
      <x:c r="B4" s="17" t="str">
        <x:v>Menu Line</x:v>
      </x:c>
      <x:c r="C4" s="17" t="str">
        <x:v>Source Line Total</x:v>
      </x:c>
      <x:c r="D4" s="18" t="str">
        <x:v>Source Quantity</x:v>
      </x:c>
      <x:c r="F4" s="52" t="str">
        <x:v>Branch</x:v>
      </x:c>
      <x:c r="G4" s="52" t="str">
        <x:v>Restaurant ID</x:v>
      </x:c>
      <x:c r="H4" s="52" t="str">
        <x:v>August Orders</x:v>
      </x:c>
    </x:row>
    <x:row r="5">
      <x:c r="A5" s="27" t="str">
        <x:v>NGJ-L260803-5PR7</x:v>
      </x:c>
      <x:c r="B5" s="45" t="n">
        <x:v>1</x:v>
      </x:c>
      <x:c r="C5" s="46" t="n">
        <x:v>28.5</x:v>
      </x:c>
      <x:c r="D5" s="47" t="n">
        <x:v>3</x:v>
      </x:c>
      <x:c r="F5" s="54" t="str">
        <x:v>Geary</x:v>
      </x:c>
      <x:c r="G5" s="54" t="str">
        <x:v>3904</x:v>
      </x:c>
      <x:c r="H5" s="58" t="n">
        <x:f>COUNTIF('Order Summary'!$B$5:$B$40,F5)</x:f>
        <x:v>5</x:v>
      </x:c>
    </x:row>
    <x:row r="6">
      <x:c r="A6" s="30" t="str">
        <x:v>NGJ-L260803-5PR7</x:v>
      </x:c>
      <x:c r="B6" s="48" t="n">
        <x:v>2</x:v>
      </x:c>
      <x:c r="C6" s="49" t="n">
        <x:v>29.25</x:v>
      </x:c>
      <x:c r="D6" s="50" t="n">
        <x:v>3</x:v>
      </x:c>
      <x:c r="F6" s="54" t="str">
        <x:v>Tennessee</x:v>
      </x:c>
      <x:c r="G6" s="54" t="str">
        <x:v>4088</x:v>
      </x:c>
      <x:c r="H6" s="58" t="n">
        <x:f>COUNTIF('Order Summary'!$B$5:$B$40,F6)</x:f>
        <x:v>31</x:v>
      </x:c>
    </x:row>
    <x:row r="7">
      <x:c r="A7" s="30" t="str">
        <x:v>NGJ-L260803-5PR7</x:v>
      </x:c>
      <x:c r="B7" s="48" t="n">
        <x:v>3</x:v>
      </x:c>
      <x:c r="C7" s="49" t="n">
        <x:v>28.5</x:v>
      </x:c>
      <x:c r="D7" s="50" t="n">
        <x:v>3</x:v>
      </x:c>
      <x:c r="F7" s="54" t="str">
        <x:v>Palo Alto</x:v>
      </x:c>
      <x:c r="G7" s="54" t="str">
        <x:v>4198</x:v>
      </x:c>
      <x:c r="H7" s="58" t="n">
        <x:f>COUNTIF('Order Summary'!$B$5:$B$40,F7)</x:f>
        <x:v>0</x:v>
      </x:c>
    </x:row>
    <x:row r="8">
      <x:c r="A8" s="30" t="str">
        <x:v>NGJ-L260803-5PR7</x:v>
      </x:c>
      <x:c r="B8" s="48" t="n">
        <x:v>4</x:v>
      </x:c>
      <x:c r="C8" s="49" t="n">
        <x:v>400</x:v>
      </x:c>
      <x:c r="D8" s="50" t="n">
        <x:v>4</x:v>
      </x:c>
      <x:c r="F8" s="57" t="str">
        <x:v>TOTAL</x:v>
      </x:c>
      <x:c r="G8" s="57" t="str"/>
      <x:c r="H8" s="59" t="n">
        <x:f>SUM(H5:H7)</x:f>
        <x:v>36</x:v>
      </x:c>
    </x:row>
    <x:row r="9">
      <x:c r="A9" s="30" t="str">
        <x:v>NGJ-L260803-5PR7</x:v>
      </x:c>
      <x:c r="B9" s="48" t="n">
        <x:v>5</x:v>
      </x:c>
      <x:c r="C9" s="49" t="n">
        <x:v>400</x:v>
      </x:c>
      <x:c r="D9" s="50" t="n">
        <x:v>4</x:v>
      </x:c>
    </x:row>
    <x:row r="10">
      <x:c r="A10" s="30" t="str">
        <x:v>NGJ-L260803-5PR7</x:v>
      </x:c>
      <x:c r="B10" s="48" t="n">
        <x:v>6</x:v>
      </x:c>
      <x:c r="C10" s="49" t="n">
        <x:v>300</x:v>
      </x:c>
      <x:c r="D10" s="50" t="n">
        <x:v>3</x:v>
      </x:c>
    </x:row>
    <x:row r="11">
      <x:c r="A11" s="30" t="str">
        <x:v>NGJ-L260803-5PR7</x:v>
      </x:c>
      <x:c r="B11" s="48" t="n">
        <x:v>7</x:v>
      </x:c>
      <x:c r="C11" s="49" t="n">
        <x:v>300</x:v>
      </x:c>
      <x:c r="D11" s="50" t="n">
        <x:v>4</x:v>
      </x:c>
    </x:row>
    <x:row r="12">
      <x:c r="A12" s="30" t="str">
        <x:v>NGJ-L260803-5PR7</x:v>
      </x:c>
      <x:c r="B12" s="48" t="n">
        <x:v>8</x:v>
      </x:c>
      <x:c r="C12" s="49" t="n">
        <x:v>240</x:v>
      </x:c>
      <x:c r="D12" s="50" t="n">
        <x:v>2</x:v>
      </x:c>
    </x:row>
    <x:row r="13">
      <x:c r="A13" s="30" t="str">
        <x:v>NGJ-L260803-5PR7</x:v>
      </x:c>
      <x:c r="B13" s="48" t="n">
        <x:v>9</x:v>
      </x:c>
      <x:c r="C13" s="49" t="n">
        <x:v>350</x:v>
      </x:c>
      <x:c r="D13" s="50" t="n">
        <x:v>7</x:v>
      </x:c>
    </x:row>
    <x:row r="14">
      <x:c r="A14" s="30" t="str">
        <x:v>NGJ-L260803-5PR7</x:v>
      </x:c>
      <x:c r="B14" s="48" t="n">
        <x:v>10</x:v>
      </x:c>
      <x:c r="C14" s="49" t="n">
        <x:v>250</x:v>
      </x:c>
      <x:c r="D14" s="50" t="n">
        <x:v>5</x:v>
      </x:c>
    </x:row>
    <x:row r="15">
      <x:c r="A15" s="30" t="str">
        <x:v>NGJ-L260803-5PR7</x:v>
      </x:c>
      <x:c r="B15" s="48" t="n">
        <x:v>11</x:v>
      </x:c>
      <x:c r="C15" s="49" t="n">
        <x:v>180</x:v>
      </x:c>
      <x:c r="D15" s="50" t="n">
        <x:v>6</x:v>
      </x:c>
    </x:row>
    <x:row r="16">
      <x:c r="A16" s="30" t="str">
        <x:v>ECF-L260804-C5GU</x:v>
      </x:c>
      <x:c r="B16" s="48" t="n">
        <x:v>1</x:v>
      </x:c>
      <x:c r="C16" s="49" t="n">
        <x:v>9.5</x:v>
      </x:c>
      <x:c r="D16" s="50" t="n">
        <x:v>1</x:v>
      </x:c>
    </x:row>
    <x:row r="17">
      <x:c r="A17" s="30" t="str">
        <x:v>ECF-L260804-C5GU</x:v>
      </x:c>
      <x:c r="B17" s="48" t="n">
        <x:v>2</x:v>
      </x:c>
      <x:c r="C17" s="49" t="n">
        <x:v>16.5</x:v>
      </x:c>
      <x:c r="D17" s="50" t="n">
        <x:v>2</x:v>
      </x:c>
    </x:row>
    <x:row r="18">
      <x:c r="A18" s="30" t="str">
        <x:v>ECF-L260804-C5GU</x:v>
      </x:c>
      <x:c r="B18" s="48" t="n">
        <x:v>3</x:v>
      </x:c>
      <x:c r="C18" s="49" t="n">
        <x:v>19</x:v>
      </x:c>
      <x:c r="D18" s="50" t="n">
        <x:v>2</x:v>
      </x:c>
    </x:row>
    <x:row r="19">
      <x:c r="A19" s="30" t="str">
        <x:v>ECF-L260804-C5GU</x:v>
      </x:c>
      <x:c r="B19" s="48" t="n">
        <x:v>4</x:v>
      </x:c>
      <x:c r="C19" s="49" t="n">
        <x:v>38</x:v>
      </x:c>
      <x:c r="D19" s="50" t="n">
        <x:v>4</x:v>
      </x:c>
    </x:row>
    <x:row r="20">
      <x:c r="A20" s="30" t="str">
        <x:v>ECF-L260804-C5GU</x:v>
      </x:c>
      <x:c r="B20" s="48" t="n">
        <x:v>5</x:v>
      </x:c>
      <x:c r="C20" s="49" t="n">
        <x:v>24.75</x:v>
      </x:c>
      <x:c r="D20" s="50" t="n">
        <x:v>3</x:v>
      </x:c>
    </x:row>
    <x:row r="21">
      <x:c r="A21" s="30" t="str">
        <x:v>ECF-L260804-C5GU</x:v>
      </x:c>
      <x:c r="B21" s="48" t="n">
        <x:v>6</x:v>
      </x:c>
      <x:c r="C21" s="49" t="n">
        <x:v>85.5</x:v>
      </x:c>
      <x:c r="D21" s="50" t="n">
        <x:v>9</x:v>
      </x:c>
    </x:row>
    <x:row r="22">
      <x:c r="A22" s="30" t="str">
        <x:v>ECF-L260804-C5GU</x:v>
      </x:c>
      <x:c r="B22" s="48" t="n">
        <x:v>7</x:v>
      </x:c>
      <x:c r="C22" s="49" t="n">
        <x:v>58.5</x:v>
      </x:c>
      <x:c r="D22" s="50" t="n">
        <x:v>6</x:v>
      </x:c>
    </x:row>
    <x:row r="23">
      <x:c r="A23" s="30" t="str">
        <x:v>ECF-L260804-C5GU</x:v>
      </x:c>
      <x:c r="B23" s="48" t="n">
        <x:v>8</x:v>
      </x:c>
      <x:c r="C23" s="49" t="n">
        <x:v>19</x:v>
      </x:c>
      <x:c r="D23" s="50" t="n">
        <x:v>2</x:v>
      </x:c>
    </x:row>
    <x:row r="24">
      <x:c r="A24" s="30" t="str">
        <x:v>ECF-L260804-C5GU</x:v>
      </x:c>
      <x:c r="B24" s="48" t="n">
        <x:v>9</x:v>
      </x:c>
      <x:c r="C24" s="49" t="n">
        <x:v>9.5</x:v>
      </x:c>
      <x:c r="D24" s="50" t="n">
        <x:v>1</x:v>
      </x:c>
    </x:row>
    <x:row r="25">
      <x:c r="A25" s="30" t="str">
        <x:v>ECF-L260804-C5GU</x:v>
      </x:c>
      <x:c r="B25" s="48" t="n">
        <x:v>10</x:v>
      </x:c>
      <x:c r="C25" s="49" t="n">
        <x:v>39</x:v>
      </x:c>
      <x:c r="D25" s="50" t="n">
        <x:v>4</x:v>
      </x:c>
    </x:row>
    <x:row r="26">
      <x:c r="A26" s="30" t="str">
        <x:v>ECF-L260804-C5GU</x:v>
      </x:c>
      <x:c r="B26" s="48" t="n">
        <x:v>11</x:v>
      </x:c>
      <x:c r="C26" s="49" t="n">
        <x:v>21.75</x:v>
      </x:c>
      <x:c r="D26" s="50" t="n">
        <x:v>3</x:v>
      </x:c>
    </x:row>
    <x:row r="27">
      <x:c r="A27" s="30" t="str">
        <x:v>ECF-L260804-C5GU</x:v>
      </x:c>
      <x:c r="B27" s="48" t="n">
        <x:v>12</x:v>
      </x:c>
      <x:c r="C27" s="49" t="n">
        <x:v>8.75</x:v>
      </x:c>
      <x:c r="D27" s="50" t="n">
        <x:v>1</x:v>
      </x:c>
    </x:row>
    <x:row r="28">
      <x:c r="A28" s="30" t="str">
        <x:v>ECF-L260804-C5GU</x:v>
      </x:c>
      <x:c r="B28" s="48" t="n">
        <x:v>13</x:v>
      </x:c>
      <x:c r="C28" s="49" t="n">
        <x:v>8.25</x:v>
      </x:c>
      <x:c r="D28" s="50" t="n">
        <x:v>1</x:v>
      </x:c>
    </x:row>
    <x:row r="29">
      <x:c r="A29" s="30" t="str">
        <x:v>ECF-L260804-C5GU</x:v>
      </x:c>
      <x:c r="B29" s="48" t="n">
        <x:v>14</x:v>
      </x:c>
      <x:c r="C29" s="49" t="n">
        <x:v>12</x:v>
      </x:c>
      <x:c r="D29" s="50" t="n">
        <x:v>4</x:v>
      </x:c>
    </x:row>
    <x:row r="30">
      <x:c r="A30" s="30" t="str">
        <x:v>JQH-L260804-TSA8</x:v>
      </x:c>
      <x:c r="B30" s="48" t="n">
        <x:v>1</x:v>
      </x:c>
      <x:c r="C30" s="49" t="n">
        <x:v>28.5</x:v>
      </x:c>
      <x:c r="D30" s="50" t="n">
        <x:v>3</x:v>
      </x:c>
    </x:row>
    <x:row r="31">
      <x:c r="A31" s="30" t="str">
        <x:v>JQH-L260804-TSA8</x:v>
      </x:c>
      <x:c r="B31" s="48" t="n">
        <x:v>2</x:v>
      </x:c>
      <x:c r="C31" s="49" t="n">
        <x:v>38</x:v>
      </x:c>
      <x:c r="D31" s="50" t="n">
        <x:v>4</x:v>
      </x:c>
    </x:row>
    <x:row r="32">
      <x:c r="A32" s="30" t="str">
        <x:v>JQH-L260804-TSA8</x:v>
      </x:c>
      <x:c r="B32" s="48" t="n">
        <x:v>3</x:v>
      </x:c>
      <x:c r="C32" s="49" t="n">
        <x:v>19.5</x:v>
      </x:c>
      <x:c r="D32" s="50" t="n">
        <x:v>2</x:v>
      </x:c>
    </x:row>
    <x:row r="33">
      <x:c r="A33" s="30" t="str">
        <x:v>JQH-L260804-TSA8</x:v>
      </x:c>
      <x:c r="B33" s="48" t="n">
        <x:v>4</x:v>
      </x:c>
      <x:c r="C33" s="49" t="n">
        <x:v>33</x:v>
      </x:c>
      <x:c r="D33" s="50" t="n">
        <x:v>4</x:v>
      </x:c>
    </x:row>
    <x:row r="34">
      <x:c r="A34" s="30" t="str">
        <x:v>JQH-L260804-TSA8</x:v>
      </x:c>
      <x:c r="B34" s="48" t="n">
        <x:v>5</x:v>
      </x:c>
      <x:c r="C34" s="49" t="n">
        <x:v>47.5</x:v>
      </x:c>
      <x:c r="D34" s="50" t="n">
        <x:v>5</x:v>
      </x:c>
    </x:row>
    <x:row r="35">
      <x:c r="A35" s="30" t="str">
        <x:v>JQH-L260804-TSA8</x:v>
      </x:c>
      <x:c r="B35" s="48" t="n">
        <x:v>6</x:v>
      </x:c>
      <x:c r="C35" s="49" t="n">
        <x:v>29.25</x:v>
      </x:c>
      <x:c r="D35" s="50" t="n">
        <x:v>3</x:v>
      </x:c>
    </x:row>
    <x:row r="36">
      <x:c r="A36" s="30" t="str">
        <x:v>JQH-L260804-TSA8</x:v>
      </x:c>
      <x:c r="B36" s="48" t="n">
        <x:v>7</x:v>
      </x:c>
      <x:c r="C36" s="49" t="n">
        <x:v>38</x:v>
      </x:c>
      <x:c r="D36" s="50" t="n">
        <x:v>4</x:v>
      </x:c>
    </x:row>
    <x:row r="37">
      <x:c r="A37" s="30" t="str">
        <x:v>JQH-L260804-TSA8</x:v>
      </x:c>
      <x:c r="B37" s="48" t="n">
        <x:v>8</x:v>
      </x:c>
      <x:c r="C37" s="49" t="n">
        <x:v>8.25</x:v>
      </x:c>
      <x:c r="D37" s="50" t="n">
        <x:v>1</x:v>
      </x:c>
    </x:row>
    <x:row r="38">
      <x:c r="A38" s="30" t="str">
        <x:v>PIJ-L260804-DJRZ</x:v>
      </x:c>
      <x:c r="B38" s="48" t="n">
        <x:v>1</x:v>
      </x:c>
      <x:c r="C38" s="49" t="n">
        <x:v>28.5</x:v>
      </x:c>
      <x:c r="D38" s="50" t="n">
        <x:v>3</x:v>
      </x:c>
    </x:row>
    <x:row r="39">
      <x:c r="A39" s="30" t="str">
        <x:v>PIJ-L260804-DJRZ</x:v>
      </x:c>
      <x:c r="B39" s="48" t="n">
        <x:v>2</x:v>
      </x:c>
      <x:c r="C39" s="49" t="n">
        <x:v>9.5</x:v>
      </x:c>
      <x:c r="D39" s="50" t="n">
        <x:v>1</x:v>
      </x:c>
    </x:row>
    <x:row r="40">
      <x:c r="A40" s="30" t="str">
        <x:v>PIJ-L260804-DJRZ</x:v>
      </x:c>
      <x:c r="B40" s="48" t="n">
        <x:v>3</x:v>
      </x:c>
      <x:c r="C40" s="49" t="n">
        <x:v>28.5</x:v>
      </x:c>
      <x:c r="D40" s="50" t="n">
        <x:v>3</x:v>
      </x:c>
    </x:row>
    <x:row r="41">
      <x:c r="A41" s="30" t="str">
        <x:v>PIJ-L260804-DJRZ</x:v>
      </x:c>
      <x:c r="B41" s="48" t="n">
        <x:v>4</x:v>
      </x:c>
      <x:c r="C41" s="49" t="n">
        <x:v>24.75</x:v>
      </x:c>
      <x:c r="D41" s="50" t="n">
        <x:v>3</x:v>
      </x:c>
    </x:row>
    <x:row r="42">
      <x:c r="A42" s="30" t="str">
        <x:v>PIJ-L260804-DJRZ</x:v>
      </x:c>
      <x:c r="B42" s="48" t="n">
        <x:v>5</x:v>
      </x:c>
      <x:c r="C42" s="49" t="n">
        <x:v>9.5</x:v>
      </x:c>
      <x:c r="D42" s="50" t="n">
        <x:v>1</x:v>
      </x:c>
    </x:row>
    <x:row r="43">
      <x:c r="A43" s="30" t="str">
        <x:v>PIJ-L260804-DJRZ</x:v>
      </x:c>
      <x:c r="B43" s="48" t="n">
        <x:v>6</x:v>
      </x:c>
      <x:c r="C43" s="49" t="n">
        <x:v>9.5</x:v>
      </x:c>
      <x:c r="D43" s="50" t="n">
        <x:v>1</x:v>
      </x:c>
    </x:row>
    <x:row r="44">
      <x:c r="A44" s="30" t="str">
        <x:v>PIJ-L260804-DJRZ</x:v>
      </x:c>
      <x:c r="B44" s="48" t="n">
        <x:v>7</x:v>
      </x:c>
      <x:c r="C44" s="49" t="n">
        <x:v>17.5</x:v>
      </x:c>
      <x:c r="D44" s="50" t="n">
        <x:v>2</x:v>
      </x:c>
    </x:row>
    <x:row r="45">
      <x:c r="A45" s="30" t="str">
        <x:v>PIJ-L260804-DJRZ</x:v>
      </x:c>
      <x:c r="B45" s="48" t="n">
        <x:v>8</x:v>
      </x:c>
      <x:c r="C45" s="49" t="n">
        <x:v>9.5</x:v>
      </x:c>
      <x:c r="D45" s="50" t="n">
        <x:v>1</x:v>
      </x:c>
    </x:row>
    <x:row r="46">
      <x:c r="A46" s="30" t="str">
        <x:v>PIJ-L260804-DJRZ</x:v>
      </x:c>
      <x:c r="B46" s="48" t="n">
        <x:v>9</x:v>
      </x:c>
      <x:c r="C46" s="49" t="n">
        <x:v>9.75</x:v>
      </x:c>
      <x:c r="D46" s="50" t="n">
        <x:v>1</x:v>
      </x:c>
    </x:row>
    <x:row r="47">
      <x:c r="A47" s="30" t="str">
        <x:v>PIJ-L260804-DJRZ</x:v>
      </x:c>
      <x:c r="B47" s="48" t="n">
        <x:v>10</x:v>
      </x:c>
      <x:c r="C47" s="49" t="n">
        <x:v>9.5</x:v>
      </x:c>
      <x:c r="D47" s="50" t="n">
        <x:v>1</x:v>
      </x:c>
    </x:row>
    <x:row r="48">
      <x:c r="A48" s="30" t="str">
        <x:v>PIJ-L260804-DJRZ</x:v>
      </x:c>
      <x:c r="B48" s="48" t="n">
        <x:v>11</x:v>
      </x:c>
      <x:c r="C48" s="49" t="n">
        <x:v>8.25</x:v>
      </x:c>
      <x:c r="D48" s="50" t="n">
        <x:v>1</x:v>
      </x:c>
    </x:row>
    <x:row r="49">
      <x:c r="A49" s="30" t="str">
        <x:v>PIJ-L260804-DJRZ</x:v>
      </x:c>
      <x:c r="B49" s="48" t="n">
        <x:v>12</x:v>
      </x:c>
      <x:c r="C49" s="49" t="n">
        <x:v>9.75</x:v>
      </x:c>
      <x:c r="D49" s="50" t="n">
        <x:v>1</x:v>
      </x:c>
    </x:row>
    <x:row r="50">
      <x:c r="A50" s="30" t="str">
        <x:v>VUD-L260805-UOB6</x:v>
      </x:c>
      <x:c r="B50" s="48" t="n">
        <x:v>1</x:v>
      </x:c>
      <x:c r="C50" s="49" t="n">
        <x:v>29</x:v>
      </x:c>
      <x:c r="D50" s="50" t="n">
        <x:v>4</x:v>
      </x:c>
    </x:row>
    <x:row r="51">
      <x:c r="A51" s="30" t="str">
        <x:v>VUD-L260805-UOB6</x:v>
      </x:c>
      <x:c r="B51" s="48" t="n">
        <x:v>2</x:v>
      </x:c>
      <x:c r="C51" s="49" t="n">
        <x:v>76</x:v>
      </x:c>
      <x:c r="D51" s="50" t="n">
        <x:v>8</x:v>
      </x:c>
    </x:row>
    <x:row r="52">
      <x:c r="A52" s="30" t="str">
        <x:v>VUD-L260805-UOB6</x:v>
      </x:c>
      <x:c r="B52" s="48" t="n">
        <x:v>3</x:v>
      </x:c>
      <x:c r="C52" s="49" t="n">
        <x:v>78</x:v>
      </x:c>
      <x:c r="D52" s="50" t="n">
        <x:v>8</x:v>
      </x:c>
    </x:row>
    <x:row r="53">
      <x:c r="A53" s="30" t="str">
        <x:v>VUD-L260805-UOB6</x:v>
      </x:c>
      <x:c r="B53" s="48" t="n">
        <x:v>4</x:v>
      </x:c>
      <x:c r="C53" s="49" t="n">
        <x:v>76</x:v>
      </x:c>
      <x:c r="D53" s="50" t="n">
        <x:v>8</x:v>
      </x:c>
    </x:row>
    <x:row r="54">
      <x:c r="A54" s="30" t="str">
        <x:v>JQH-D260805-TSA8</x:v>
      </x:c>
      <x:c r="B54" s="48" t="n">
        <x:v>1</x:v>
      </x:c>
      <x:c r="C54" s="49" t="n">
        <x:v>19</x:v>
      </x:c>
      <x:c r="D54" s="50" t="n">
        <x:v>2</x:v>
      </x:c>
    </x:row>
    <x:row r="55">
      <x:c r="A55" s="30" t="str">
        <x:v>JQH-D260805-TSA8</x:v>
      </x:c>
      <x:c r="B55" s="48" t="n">
        <x:v>2</x:v>
      </x:c>
      <x:c r="C55" s="49" t="n">
        <x:v>9.5</x:v>
      </x:c>
      <x:c r="D55" s="50" t="n">
        <x:v>1</x:v>
      </x:c>
    </x:row>
    <x:row r="56">
      <x:c r="A56" s="30" t="str">
        <x:v>JQH-D260805-TSA8</x:v>
      </x:c>
      <x:c r="B56" s="48" t="n">
        <x:v>3</x:v>
      </x:c>
      <x:c r="C56" s="49" t="n">
        <x:v>8.25</x:v>
      </x:c>
      <x:c r="D56" s="50" t="n">
        <x:v>1</x:v>
      </x:c>
    </x:row>
    <x:row r="57">
      <x:c r="A57" s="30" t="str">
        <x:v>TGI-L260806-K80P</x:v>
      </x:c>
      <x:c r="B57" s="48" t="n">
        <x:v>1</x:v>
      </x:c>
      <x:c r="C57" s="49" t="n">
        <x:v>9.75</x:v>
      </x:c>
      <x:c r="D57" s="50" t="n">
        <x:v>1</x:v>
      </x:c>
    </x:row>
    <x:row r="58">
      <x:c r="A58" s="30" t="str">
        <x:v>TGI-L260806-K80P</x:v>
      </x:c>
      <x:c r="B58" s="48" t="n">
        <x:v>2</x:v>
      </x:c>
      <x:c r="C58" s="49" t="n">
        <x:v>9.5</x:v>
      </x:c>
      <x:c r="D58" s="50" t="n">
        <x:v>1</x:v>
      </x:c>
    </x:row>
    <x:row r="59">
      <x:c r="A59" s="30" t="str">
        <x:v>TGI-L260806-K80P</x:v>
      </x:c>
      <x:c r="B59" s="48" t="n">
        <x:v>3</x:v>
      </x:c>
      <x:c r="C59" s="49" t="n">
        <x:v>8.25</x:v>
      </x:c>
      <x:c r="D59" s="50" t="n">
        <x:v>1</x:v>
      </x:c>
    </x:row>
    <x:row r="60">
      <x:c r="A60" s="30" t="str">
        <x:v>TIS-L260806-F1ZL</x:v>
      </x:c>
      <x:c r="B60" s="48" t="n">
        <x:v>1</x:v>
      </x:c>
      <x:c r="C60" s="49" t="n">
        <x:v>9.5</x:v>
      </x:c>
      <x:c r="D60" s="50" t="n">
        <x:v>1</x:v>
      </x:c>
    </x:row>
    <x:row r="61">
      <x:c r="A61" s="30" t="str">
        <x:v>TIS-L260806-F1ZL</x:v>
      </x:c>
      <x:c r="B61" s="48" t="n">
        <x:v>2</x:v>
      </x:c>
      <x:c r="C61" s="49" t="n">
        <x:v>9.5</x:v>
      </x:c>
      <x:c r="D61" s="50" t="n">
        <x:v>1</x:v>
      </x:c>
    </x:row>
    <x:row r="62">
      <x:c r="A62" s="30" t="str">
        <x:v>MSC-L260806-65N4</x:v>
      </x:c>
      <x:c r="B62" s="48" t="n">
        <x:v>1</x:v>
      </x:c>
      <x:c r="C62" s="49" t="n">
        <x:v>28.5</x:v>
      </x:c>
      <x:c r="D62" s="50" t="n">
        <x:v>3</x:v>
      </x:c>
    </x:row>
    <x:row r="63">
      <x:c r="A63" s="30" t="str">
        <x:v>MSC-L260806-65N4</x:v>
      </x:c>
      <x:c r="B63" s="48" t="n">
        <x:v>2</x:v>
      </x:c>
      <x:c r="C63" s="49" t="n">
        <x:v>9.5</x:v>
      </x:c>
      <x:c r="D63" s="50" t="n">
        <x:v>1</x:v>
      </x:c>
    </x:row>
    <x:row r="64">
      <x:c r="A64" s="30" t="str">
        <x:v>MSC-L260806-65N4</x:v>
      </x:c>
      <x:c r="B64" s="48" t="n">
        <x:v>3</x:v>
      </x:c>
      <x:c r="C64" s="49" t="n">
        <x:v>24.75</x:v>
      </x:c>
      <x:c r="D64" s="50" t="n">
        <x:v>3</x:v>
      </x:c>
    </x:row>
    <x:row r="65">
      <x:c r="A65" s="30" t="str">
        <x:v>MSC-L260806-65N4</x:v>
      </x:c>
      <x:c r="B65" s="48" t="n">
        <x:v>4</x:v>
      </x:c>
      <x:c r="C65" s="49" t="n">
        <x:v>29.25</x:v>
      </x:c>
      <x:c r="D65" s="50" t="n">
        <x:v>3</x:v>
      </x:c>
    </x:row>
    <x:row r="66">
      <x:c r="A66" s="30" t="str">
        <x:v>MSC-L260806-65N4</x:v>
      </x:c>
      <x:c r="B66" s="48" t="n">
        <x:v>5</x:v>
      </x:c>
      <x:c r="C66" s="49" t="n">
        <x:v>57</x:v>
      </x:c>
      <x:c r="D66" s="50" t="n">
        <x:v>6</x:v>
      </x:c>
    </x:row>
    <x:row r="67">
      <x:c r="A67" s="30" t="str">
        <x:v>MSC-L260806-65N4</x:v>
      </x:c>
      <x:c r="B67" s="48" t="n">
        <x:v>6</x:v>
      </x:c>
      <x:c r="C67" s="49" t="n">
        <x:v>17.5</x:v>
      </x:c>
      <x:c r="D67" s="50" t="n">
        <x:v>2</x:v>
      </x:c>
    </x:row>
    <x:row r="68">
      <x:c r="A68" s="30" t="str">
        <x:v>MSC-L260806-65N4</x:v>
      </x:c>
      <x:c r="B68" s="48" t="n">
        <x:v>7</x:v>
      </x:c>
      <x:c r="C68" s="49" t="n">
        <x:v>9.75</x:v>
      </x:c>
      <x:c r="D68" s="50" t="n">
        <x:v>1</x:v>
      </x:c>
    </x:row>
    <x:row r="69">
      <x:c r="A69" s="30" t="str">
        <x:v>MSC-L260806-65N4</x:v>
      </x:c>
      <x:c r="B69" s="48" t="n">
        <x:v>8</x:v>
      </x:c>
      <x:c r="C69" s="49" t="n">
        <x:v>38</x:v>
      </x:c>
      <x:c r="D69" s="50" t="n">
        <x:v>4</x:v>
      </x:c>
    </x:row>
    <x:row r="70">
      <x:c r="A70" s="30" t="str">
        <x:v>MSC-L260806-65N4</x:v>
      </x:c>
      <x:c r="B70" s="48" t="n">
        <x:v>9</x:v>
      </x:c>
      <x:c r="C70" s="49" t="n">
        <x:v>47.5</x:v>
      </x:c>
      <x:c r="D70" s="50" t="n">
        <x:v>5</x:v>
      </x:c>
    </x:row>
    <x:row r="71">
      <x:c r="A71" s="30" t="str">
        <x:v>MSC-L260806-65N4</x:v>
      </x:c>
      <x:c r="B71" s="48" t="n">
        <x:v>10</x:v>
      </x:c>
      <x:c r="C71" s="49" t="n">
        <x:v>9.5</x:v>
      </x:c>
      <x:c r="D71" s="50" t="n">
        <x:v>1</x:v>
      </x:c>
    </x:row>
    <x:row r="72">
      <x:c r="A72" s="30" t="str">
        <x:v>MSC-L260806-65N4</x:v>
      </x:c>
      <x:c r="B72" s="48" t="n">
        <x:v>11</x:v>
      </x:c>
      <x:c r="C72" s="49" t="n">
        <x:v>19.5</x:v>
      </x:c>
      <x:c r="D72" s="50" t="n">
        <x:v>2</x:v>
      </x:c>
    </x:row>
    <x:row r="73">
      <x:c r="A73" s="30" t="str">
        <x:v>MSC-L260806-65N4</x:v>
      </x:c>
      <x:c r="B73" s="48" t="n">
        <x:v>12</x:v>
      </x:c>
      <x:c r="C73" s="49" t="n">
        <x:v>9.5</x:v>
      </x:c>
      <x:c r="D73" s="50" t="n">
        <x:v>1</x:v>
      </x:c>
    </x:row>
    <x:row r="74">
      <x:c r="A74" s="30" t="str">
        <x:v>MSC-L260806-65N4</x:v>
      </x:c>
      <x:c r="B74" s="48" t="n">
        <x:v>13</x:v>
      </x:c>
      <x:c r="C74" s="49" t="n">
        <x:v>0.75</x:v>
      </x:c>
      <x:c r="D74" s="50" t="n">
        <x:v>1</x:v>
      </x:c>
    </x:row>
    <x:row r="75">
      <x:c r="A75" s="30" t="str">
        <x:v>MSC-L260806-65N4</x:v>
      </x:c>
      <x:c r="B75" s="48" t="n">
        <x:v>14</x:v>
      </x:c>
      <x:c r="C75" s="49" t="n">
        <x:v>0.75</x:v>
      </x:c>
      <x:c r="D75" s="50" t="n">
        <x:v>1</x:v>
      </x:c>
    </x:row>
    <x:row r="76">
      <x:c r="A76" s="30" t="str">
        <x:v>MSC-L260806-65N4</x:v>
      </x:c>
      <x:c r="B76" s="48" t="n">
        <x:v>15</x:v>
      </x:c>
      <x:c r="C76" s="49" t="n">
        <x:v>4</x:v>
      </x:c>
      <x:c r="D76" s="50" t="n">
        <x:v>1</x:v>
      </x:c>
    </x:row>
    <x:row r="77">
      <x:c r="A77" s="30" t="str">
        <x:v>YNI-L260806-I5CZ</x:v>
      </x:c>
      <x:c r="B77" s="48" t="n">
        <x:v>1</x:v>
      </x:c>
      <x:c r="C77" s="49" t="n">
        <x:v>48.75</x:v>
      </x:c>
      <x:c r="D77" s="50" t="n">
        <x:v>5</x:v>
      </x:c>
    </x:row>
    <x:row r="78">
      <x:c r="A78" s="30" t="str">
        <x:v>YNI-L260806-I5CZ</x:v>
      </x:c>
      <x:c r="B78" s="48" t="n">
        <x:v>2</x:v>
      </x:c>
      <x:c r="C78" s="49" t="n">
        <x:v>16.5</x:v>
      </x:c>
      <x:c r="D78" s="50" t="n">
        <x:v>2</x:v>
      </x:c>
    </x:row>
    <x:row r="79">
      <x:c r="A79" s="30" t="str">
        <x:v>YNI-L260806-I5CZ</x:v>
      </x:c>
      <x:c r="B79" s="48" t="n">
        <x:v>3</x:v>
      </x:c>
      <x:c r="C79" s="49" t="n">
        <x:v>39</x:v>
      </x:c>
      <x:c r="D79" s="50" t="n">
        <x:v>4</x:v>
      </x:c>
    </x:row>
    <x:row r="80">
      <x:c r="A80" s="30" t="str">
        <x:v>YNI-L260806-I5CZ</x:v>
      </x:c>
      <x:c r="B80" s="48" t="n">
        <x:v>4</x:v>
      </x:c>
      <x:c r="C80" s="49" t="n">
        <x:v>9.75</x:v>
      </x:c>
      <x:c r="D80" s="50" t="n">
        <x:v>1</x:v>
      </x:c>
    </x:row>
    <x:row r="81">
      <x:c r="A81" s="30" t="str">
        <x:v>YNI-L260806-I5CZ</x:v>
      </x:c>
      <x:c r="B81" s="48" t="n">
        <x:v>5</x:v>
      </x:c>
      <x:c r="C81" s="49" t="n">
        <x:v>9.5</x:v>
      </x:c>
      <x:c r="D81" s="50" t="n">
        <x:v>1</x:v>
      </x:c>
    </x:row>
    <x:row r="82">
      <x:c r="A82" s="30" t="str">
        <x:v>YNI-L260806-I5CZ</x:v>
      </x:c>
      <x:c r="B82" s="48" t="n">
        <x:v>6</x:v>
      </x:c>
      <x:c r="C82" s="49" t="n">
        <x:v>19</x:v>
      </x:c>
      <x:c r="D82" s="50" t="n">
        <x:v>2</x:v>
      </x:c>
    </x:row>
    <x:row r="83">
      <x:c r="A83" s="30" t="str">
        <x:v>YNI-L260806-I5CZ</x:v>
      </x:c>
      <x:c r="B83" s="48" t="n">
        <x:v>7</x:v>
      </x:c>
      <x:c r="C83" s="49" t="n">
        <x:v>19</x:v>
      </x:c>
      <x:c r="D83" s="50" t="n">
        <x:v>2</x:v>
      </x:c>
    </x:row>
    <x:row r="84">
      <x:c r="A84" s="30" t="str">
        <x:v>YNI-L260806-I5CZ</x:v>
      </x:c>
      <x:c r="B84" s="48" t="n">
        <x:v>8</x:v>
      </x:c>
      <x:c r="C84" s="49" t="n">
        <x:v>8.25</x:v>
      </x:c>
      <x:c r="D84" s="50" t="n">
        <x:v>1</x:v>
      </x:c>
    </x:row>
    <x:row r="85">
      <x:c r="A85" s="30" t="str">
        <x:v>YNI-L260806-I5CZ</x:v>
      </x:c>
      <x:c r="B85" s="48" t="n">
        <x:v>9</x:v>
      </x:c>
      <x:c r="C85" s="49" t="n">
        <x:v>9.5</x:v>
      </x:c>
      <x:c r="D85" s="50" t="n">
        <x:v>1</x:v>
      </x:c>
    </x:row>
    <x:row r="86">
      <x:c r="A86" s="30" t="str">
        <x:v>YNI-L260806-I5CZ</x:v>
      </x:c>
      <x:c r="B86" s="48" t="n">
        <x:v>10</x:v>
      </x:c>
      <x:c r="C86" s="49" t="n">
        <x:v>9.5</x:v>
      </x:c>
      <x:c r="D86" s="50" t="n">
        <x:v>1</x:v>
      </x:c>
    </x:row>
    <x:row r="87">
      <x:c r="A87" s="30" t="str">
        <x:v>YNI-L260806-I5CZ</x:v>
      </x:c>
      <x:c r="B87" s="48" t="n">
        <x:v>11</x:v>
      </x:c>
      <x:c r="C87" s="49" t="n">
        <x:v>9.5</x:v>
      </x:c>
      <x:c r="D87" s="50" t="n">
        <x:v>1</x:v>
      </x:c>
    </x:row>
    <x:row r="88">
      <x:c r="A88" s="30" t="str">
        <x:v>YNI-L260806-I5CZ</x:v>
      </x:c>
      <x:c r="B88" s="48" t="n">
        <x:v>12</x:v>
      </x:c>
      <x:c r="C88" s="49" t="n">
        <x:v>3</x:v>
      </x:c>
      <x:c r="D88" s="50" t="n">
        <x:v>1</x:v>
      </x:c>
    </x:row>
    <x:row r="89">
      <x:c r="A89" s="30" t="str">
        <x:v>YNI-L260806-I5CZ</x:v>
      </x:c>
      <x:c r="B89" s="48" t="n">
        <x:v>13</x:v>
      </x:c>
      <x:c r="C89" s="49" t="n">
        <x:v>6</x:v>
      </x:c>
      <x:c r="D89" s="50" t="n">
        <x:v>2</x:v>
      </x:c>
    </x:row>
    <x:row r="90">
      <x:c r="A90" s="30" t="str">
        <x:v>YNI-L260806-I5CZ</x:v>
      </x:c>
      <x:c r="B90" s="48" t="n">
        <x:v>14</x:v>
      </x:c>
      <x:c r="C90" s="49" t="n">
        <x:v>0.75</x:v>
      </x:c>
      <x:c r="D90" s="50" t="n">
        <x:v>1</x:v>
      </x:c>
    </x:row>
    <x:row r="91">
      <x:c r="A91" s="30" t="str">
        <x:v>YNI-L260806-I5CZ</x:v>
      </x:c>
      <x:c r="B91" s="48" t="n">
        <x:v>15</x:v>
      </x:c>
      <x:c r="C91" s="49" t="n">
        <x:v>4.5</x:v>
      </x:c>
      <x:c r="D91" s="50" t="n">
        <x:v>6</x:v>
      </x:c>
    </x:row>
    <x:row r="92">
      <x:c r="A92" s="30" t="str">
        <x:v>YNI-L260806-I5CZ</x:v>
      </x:c>
      <x:c r="B92" s="48" t="n">
        <x:v>16</x:v>
      </x:c>
      <x:c r="C92" s="49" t="n">
        <x:v>0.75</x:v>
      </x:c>
      <x:c r="D92" s="50" t="n">
        <x:v>1</x:v>
      </x:c>
    </x:row>
    <x:row r="93">
      <x:c r="A93" s="30" t="str">
        <x:v>YNI-L260806-I5CZ</x:v>
      </x:c>
      <x:c r="B93" s="48" t="n">
        <x:v>17</x:v>
      </x:c>
      <x:c r="C93" s="49" t="n">
        <x:v>0.75</x:v>
      </x:c>
      <x:c r="D93" s="50" t="n">
        <x:v>1</x:v>
      </x:c>
    </x:row>
    <x:row r="94">
      <x:c r="A94" s="30" t="str">
        <x:v>JWL-L260806-XBFJ</x:v>
      </x:c>
      <x:c r="B94" s="48" t="n">
        <x:v>1</x:v>
      </x:c>
      <x:c r="C94" s="49" t="n">
        <x:v>16.5</x:v>
      </x:c>
      <x:c r="D94" s="50" t="n">
        <x:v>2</x:v>
      </x:c>
    </x:row>
    <x:row r="95">
      <x:c r="A95" s="30" t="str">
        <x:v>JWL-L260806-XBFJ</x:v>
      </x:c>
      <x:c r="B95" s="48" t="n">
        <x:v>2</x:v>
      </x:c>
      <x:c r="C95" s="49" t="n">
        <x:v>9.5</x:v>
      </x:c>
      <x:c r="D95" s="50" t="n">
        <x:v>1</x:v>
      </x:c>
    </x:row>
    <x:row r="96">
      <x:c r="A96" s="30" t="str">
        <x:v>JWL-L260806-XBFJ</x:v>
      </x:c>
      <x:c r="B96" s="48" t="n">
        <x:v>3</x:v>
      </x:c>
      <x:c r="C96" s="49" t="n">
        <x:v>9.75</x:v>
      </x:c>
      <x:c r="D96" s="50" t="n">
        <x:v>1</x:v>
      </x:c>
    </x:row>
    <x:row r="97">
      <x:c r="A97" s="30" t="str">
        <x:v>JWL-L260806-XBFJ</x:v>
      </x:c>
      <x:c r="B97" s="48" t="n">
        <x:v>4</x:v>
      </x:c>
      <x:c r="C97" s="49" t="n">
        <x:v>9.5</x:v>
      </x:c>
      <x:c r="D97" s="50" t="n">
        <x:v>1</x:v>
      </x:c>
    </x:row>
    <x:row r="98">
      <x:c r="A98" s="30" t="str">
        <x:v>MHA-L260806-XKL3</x:v>
      </x:c>
      <x:c r="B98" s="48" t="n">
        <x:v>1</x:v>
      </x:c>
      <x:c r="C98" s="49" t="n">
        <x:v>30</x:v>
      </x:c>
      <x:c r="D98" s="50" t="n">
        <x:v>1</x:v>
      </x:c>
    </x:row>
    <x:row r="99">
      <x:c r="A99" s="30" t="str">
        <x:v>MHA-L260806-XKL3</x:v>
      </x:c>
      <x:c r="B99" s="48" t="n">
        <x:v>2</x:v>
      </x:c>
      <x:c r="C99" s="49" t="n">
        <x:v>25</x:v>
      </x:c>
      <x:c r="D99" s="50" t="n">
        <x:v>1</x:v>
      </x:c>
    </x:row>
    <x:row r="100">
      <x:c r="A100" s="30" t="str">
        <x:v>MHA-L260806-XKL3</x:v>
      </x:c>
      <x:c r="B100" s="48" t="n">
        <x:v>3</x:v>
      </x:c>
      <x:c r="C100" s="49" t="n">
        <x:v>25</x:v>
      </x:c>
      <x:c r="D100" s="50" t="n">
        <x:v>1</x:v>
      </x:c>
    </x:row>
    <x:row r="101">
      <x:c r="A101" s="30" t="str">
        <x:v>MHA-L260806-XKL3</x:v>
      </x:c>
      <x:c r="B101" s="48" t="n">
        <x:v>4</x:v>
      </x:c>
      <x:c r="C101" s="49" t="n">
        <x:v>50</x:v>
      </x:c>
      <x:c r="D101" s="50" t="n">
        <x:v>1</x:v>
      </x:c>
    </x:row>
    <x:row r="102">
      <x:c r="A102" s="30" t="str">
        <x:v>MHA-L260806-XKL3</x:v>
      </x:c>
      <x:c r="B102" s="48" t="n">
        <x:v>5</x:v>
      </x:c>
      <x:c r="C102" s="49" t="n">
        <x:v>50</x:v>
      </x:c>
      <x:c r="D102" s="50" t="n">
        <x:v>1</x:v>
      </x:c>
    </x:row>
    <x:row r="103">
      <x:c r="A103" s="30" t="str">
        <x:v>MHA-L260806-XKL3</x:v>
      </x:c>
      <x:c r="B103" s="48" t="n">
        <x:v>6</x:v>
      </x:c>
      <x:c r="C103" s="49" t="n">
        <x:v>100</x:v>
      </x:c>
      <x:c r="D103" s="50" t="n">
        <x:v>2</x:v>
      </x:c>
    </x:row>
    <x:row r="104">
      <x:c r="A104" s="30" t="str">
        <x:v>ZLF-L260806-F0YV</x:v>
      </x:c>
      <x:c r="B104" s="48" t="n">
        <x:v>1</x:v>
      </x:c>
      <x:c r="C104" s="49" t="n">
        <x:v>19</x:v>
      </x:c>
      <x:c r="D104" s="50" t="n">
        <x:v>2</x:v>
      </x:c>
    </x:row>
    <x:row r="105">
      <x:c r="A105" s="30" t="str">
        <x:v>ZLF-L260806-F0YV</x:v>
      </x:c>
      <x:c r="B105" s="48" t="n">
        <x:v>2</x:v>
      </x:c>
      <x:c r="C105" s="49" t="n">
        <x:v>28.5</x:v>
      </x:c>
      <x:c r="D105" s="50" t="n">
        <x:v>3</x:v>
      </x:c>
    </x:row>
    <x:row r="106">
      <x:c r="A106" s="30" t="str">
        <x:v>ZLF-L260806-F0YV</x:v>
      </x:c>
      <x:c r="B106" s="48" t="n">
        <x:v>3</x:v>
      </x:c>
      <x:c r="C106" s="49" t="n">
        <x:v>7.25</x:v>
      </x:c>
      <x:c r="D106" s="50" t="n">
        <x:v>1</x:v>
      </x:c>
    </x:row>
    <x:row r="107">
      <x:c r="A107" s="30" t="str">
        <x:v>QTE-L260806-QB0A</x:v>
      </x:c>
      <x:c r="B107" s="48" t="n">
        <x:v>1</x:v>
      </x:c>
      <x:c r="C107" s="49" t="n">
        <x:v>100</x:v>
      </x:c>
      <x:c r="D107" s="50" t="n">
        <x:v>1</x:v>
      </x:c>
    </x:row>
    <x:row r="108">
      <x:c r="A108" s="30" t="str">
        <x:v>QTE-L260806-QB0A</x:v>
      </x:c>
      <x:c r="B108" s="48" t="n">
        <x:v>2</x:v>
      </x:c>
      <x:c r="C108" s="49" t="n">
        <x:v>70</x:v>
      </x:c>
      <x:c r="D108" s="50" t="n">
        <x:v>1</x:v>
      </x:c>
    </x:row>
    <x:row r="109">
      <x:c r="A109" s="30" t="str">
        <x:v>QTE-L260806-QB0A</x:v>
      </x:c>
      <x:c r="B109" s="48" t="n">
        <x:v>3</x:v>
      </x:c>
      <x:c r="C109" s="49" t="n">
        <x:v>100</x:v>
      </x:c>
      <x:c r="D109" s="50" t="n">
        <x:v>2</x:v>
      </x:c>
    </x:row>
    <x:row r="110">
      <x:c r="A110" s="30" t="str">
        <x:v>QTE-L260806-QB0A</x:v>
      </x:c>
      <x:c r="B110" s="48" t="n">
        <x:v>4</x:v>
      </x:c>
      <x:c r="C110" s="49" t="n">
        <x:v>55</x:v>
      </x:c>
      <x:c r="D110" s="50" t="n">
        <x:v>1</x:v>
      </x:c>
    </x:row>
    <x:row r="111">
      <x:c r="A111" s="30" t="str">
        <x:v>QTE-L260806-QB0A</x:v>
      </x:c>
      <x:c r="B111" s="48" t="n">
        <x:v>5</x:v>
      </x:c>
      <x:c r="C111" s="49" t="n">
        <x:v>100</x:v>
      </x:c>
      <x:c r="D111" s="50" t="n">
        <x:v>1</x:v>
      </x:c>
    </x:row>
    <x:row r="112">
      <x:c r="A112" s="30" t="str">
        <x:v>QTE-L260806-QB0A</x:v>
      </x:c>
      <x:c r="B112" s="48" t="n">
        <x:v>6</x:v>
      </x:c>
      <x:c r="C112" s="49" t="n">
        <x:v>60</x:v>
      </x:c>
      <x:c r="D112" s="50" t="n">
        <x:v>2</x:v>
      </x:c>
    </x:row>
    <x:row r="113">
      <x:c r="A113" s="30" t="str">
        <x:v>QTE-L260806-QB0A</x:v>
      </x:c>
      <x:c r="B113" s="48" t="n">
        <x:v>7</x:v>
      </x:c>
      <x:c r="C113" s="49" t="n">
        <x:v>50</x:v>
      </x:c>
      <x:c r="D113" s="50" t="n">
        <x:v>1</x:v>
      </x:c>
    </x:row>
    <x:row r="114">
      <x:c r="A114" s="30" t="str">
        <x:v>GTL-L260806-O7WM</x:v>
      </x:c>
      <x:c r="B114" s="48" t="n">
        <x:v>1</x:v>
      </x:c>
      <x:c r="C114" s="49" t="n">
        <x:v>9.5</x:v>
      </x:c>
      <x:c r="D114" s="50" t="n">
        <x:v>1</x:v>
      </x:c>
    </x:row>
    <x:row r="115">
      <x:c r="A115" s="30" t="str">
        <x:v>DKN-L260807-YONJ</x:v>
      </x:c>
      <x:c r="B115" s="48" t="n">
        <x:v>1</x:v>
      </x:c>
      <x:c r="C115" s="49" t="n">
        <x:v>58.5</x:v>
      </x:c>
      <x:c r="D115" s="50" t="n">
        <x:v>6</x:v>
      </x:c>
    </x:row>
    <x:row r="116">
      <x:c r="A116" s="30" t="str">
        <x:v>DKN-L260807-YONJ</x:v>
      </x:c>
      <x:c r="B116" s="48" t="n">
        <x:v>2</x:v>
      </x:c>
      <x:c r="C116" s="49" t="n">
        <x:v>68.25</x:v>
      </x:c>
      <x:c r="D116" s="50" t="n">
        <x:v>7</x:v>
      </x:c>
    </x:row>
    <x:row r="117">
      <x:c r="A117" s="30" t="str">
        <x:v>DKN-L260807-YONJ</x:v>
      </x:c>
      <x:c r="B117" s="48" t="n">
        <x:v>3</x:v>
      </x:c>
      <x:c r="C117" s="49" t="n">
        <x:v>14.5</x:v>
      </x:c>
      <x:c r="D117" s="50" t="n">
        <x:v>2</x:v>
      </x:c>
    </x:row>
    <x:row r="118">
      <x:c r="A118" s="30" t="str">
        <x:v>JQH-D260809-TSA8</x:v>
      </x:c>
      <x:c r="B118" s="48" t="n">
        <x:v>1</x:v>
      </x:c>
      <x:c r="C118" s="49" t="n">
        <x:v>7.25</x:v>
      </x:c>
      <x:c r="D118" s="50" t="n">
        <x:v>1</x:v>
      </x:c>
    </x:row>
    <x:row r="119">
      <x:c r="A119" s="30" t="str">
        <x:v>JQH-D260809-TSA8</x:v>
      </x:c>
      <x:c r="B119" s="48" t="n">
        <x:v>2</x:v>
      </x:c>
      <x:c r="C119" s="49" t="n">
        <x:v>9.5</x:v>
      </x:c>
      <x:c r="D119" s="50" t="n">
        <x:v>1</x:v>
      </x:c>
    </x:row>
    <x:row r="120">
      <x:c r="A120" s="30" t="str">
        <x:v>JQH-D260812-TSA8</x:v>
      </x:c>
      <x:c r="B120" s="48" t="n">
        <x:v>1</x:v>
      </x:c>
      <x:c r="C120" s="49" t="n">
        <x:v>9.75</x:v>
      </x:c>
      <x:c r="D120" s="50" t="n">
        <x:v>1</x:v>
      </x:c>
    </x:row>
    <x:row r="121">
      <x:c r="A121" s="30" t="str">
        <x:v>JQH-D260812-TSA8</x:v>
      </x:c>
      <x:c r="B121" s="48" t="n">
        <x:v>2</x:v>
      </x:c>
      <x:c r="C121" s="49" t="n">
        <x:v>8.25</x:v>
      </x:c>
      <x:c r="D121" s="50" t="n">
        <x:v>1</x:v>
      </x:c>
    </x:row>
    <x:row r="122">
      <x:c r="A122" s="30" t="str">
        <x:v>JQH-D260812-TSA8</x:v>
      </x:c>
      <x:c r="B122" s="48" t="n">
        <x:v>3</x:v>
      </x:c>
      <x:c r="C122" s="49" t="n">
        <x:v>8.25</x:v>
      </x:c>
      <x:c r="D122" s="50" t="n">
        <x:v>1</x:v>
      </x:c>
    </x:row>
    <x:row r="123">
      <x:c r="A123" s="30" t="str">
        <x:v>KNH-L260813-41ET</x:v>
      </x:c>
      <x:c r="B123" s="48" t="n">
        <x:v>1</x:v>
      </x:c>
      <x:c r="C123" s="49" t="n">
        <x:v>28.5</x:v>
      </x:c>
      <x:c r="D123" s="50" t="n">
        <x:v>3</x:v>
      </x:c>
    </x:row>
    <x:row r="124">
      <x:c r="A124" s="30" t="str">
        <x:v>KNH-L260813-41ET</x:v>
      </x:c>
      <x:c r="B124" s="48" t="n">
        <x:v>2</x:v>
      </x:c>
      <x:c r="C124" s="49" t="n">
        <x:v>16.5</x:v>
      </x:c>
      <x:c r="D124" s="50" t="n">
        <x:v>2</x:v>
      </x:c>
    </x:row>
    <x:row r="125">
      <x:c r="A125" s="30" t="str">
        <x:v>KNH-L260813-41ET</x:v>
      </x:c>
      <x:c r="B125" s="48" t="n">
        <x:v>3</x:v>
      </x:c>
      <x:c r="C125" s="49" t="n">
        <x:v>9.5</x:v>
      </x:c>
      <x:c r="D125" s="50" t="n">
        <x:v>1</x:v>
      </x:c>
    </x:row>
    <x:row r="126">
      <x:c r="A126" s="30" t="str">
        <x:v>KNH-L260813-41ET</x:v>
      </x:c>
      <x:c r="B126" s="48" t="n">
        <x:v>4</x:v>
      </x:c>
      <x:c r="C126" s="49" t="n">
        <x:v>9.75</x:v>
      </x:c>
      <x:c r="D126" s="50" t="n">
        <x:v>1</x:v>
      </x:c>
    </x:row>
    <x:row r="127">
      <x:c r="A127" s="30" t="str">
        <x:v>KNH-L260813-41ET</x:v>
      </x:c>
      <x:c r="B127" s="48" t="n">
        <x:v>5</x:v>
      </x:c>
      <x:c r="C127" s="49" t="n">
        <x:v>19.5</x:v>
      </x:c>
      <x:c r="D127" s="50" t="n">
        <x:v>2</x:v>
      </x:c>
    </x:row>
    <x:row r="128">
      <x:c r="A128" s="30" t="str">
        <x:v>KNH-L260813-41ET</x:v>
      </x:c>
      <x:c r="B128" s="48" t="n">
        <x:v>6</x:v>
      </x:c>
      <x:c r="C128" s="49" t="n">
        <x:v>9.5</x:v>
      </x:c>
      <x:c r="D128" s="50" t="n">
        <x:v>1</x:v>
      </x:c>
    </x:row>
    <x:row r="129">
      <x:c r="A129" s="30" t="str">
        <x:v>KNH-L260813-41ET</x:v>
      </x:c>
      <x:c r="B129" s="48" t="n">
        <x:v>7</x:v>
      </x:c>
      <x:c r="C129" s="49" t="n">
        <x:v>8.25</x:v>
      </x:c>
      <x:c r="D129" s="50" t="n">
        <x:v>1</x:v>
      </x:c>
    </x:row>
    <x:row r="130">
      <x:c r="A130" s="30" t="str">
        <x:v>KNH-L260813-41ET</x:v>
      </x:c>
      <x:c r="B130" s="48" t="n">
        <x:v>8</x:v>
      </x:c>
      <x:c r="C130" s="49" t="n">
        <x:v>8.25</x:v>
      </x:c>
      <x:c r="D130" s="50" t="n">
        <x:v>1</x:v>
      </x:c>
    </x:row>
    <x:row r="131">
      <x:c r="A131" s="30" t="str">
        <x:v>KNH-L260813-41ET</x:v>
      </x:c>
      <x:c r="B131" s="48" t="n">
        <x:v>9</x:v>
      </x:c>
      <x:c r="C131" s="49" t="n">
        <x:v>9.5</x:v>
      </x:c>
      <x:c r="D131" s="50" t="n">
        <x:v>1</x:v>
      </x:c>
    </x:row>
    <x:row r="132">
      <x:c r="A132" s="30" t="str">
        <x:v>KNH-L260813-41ET</x:v>
      </x:c>
      <x:c r="B132" s="48" t="n">
        <x:v>10</x:v>
      </x:c>
      <x:c r="C132" s="49" t="n">
        <x:v>8</x:v>
      </x:c>
      <x:c r="D132" s="50" t="n">
        <x:v>2</x:v>
      </x:c>
    </x:row>
    <x:row r="133">
      <x:c r="A133" s="30" t="str">
        <x:v>KNH-L260813-41ET</x:v>
      </x:c>
      <x:c r="B133" s="48" t="n">
        <x:v>11</x:v>
      </x:c>
      <x:c r="C133" s="49" t="n">
        <x:v>0.75</x:v>
      </x:c>
      <x:c r="D133" s="50" t="n">
        <x:v>1</x:v>
      </x:c>
    </x:row>
    <x:row r="134">
      <x:c r="A134" s="30" t="str">
        <x:v>IEW-L260814-QVDZ</x:v>
      </x:c>
      <x:c r="B134" s="48" t="n">
        <x:v>1</x:v>
      </x:c>
      <x:c r="C134" s="49" t="n">
        <x:v>19</x:v>
      </x:c>
      <x:c r="D134" s="50" t="n">
        <x:v>2</x:v>
      </x:c>
    </x:row>
    <x:row r="135">
      <x:c r="A135" s="30" t="str">
        <x:v>IEW-L260814-QVDZ</x:v>
      </x:c>
      <x:c r="B135" s="48" t="n">
        <x:v>2</x:v>
      </x:c>
      <x:c r="C135" s="49" t="n">
        <x:v>8.25</x:v>
      </x:c>
      <x:c r="D135" s="50" t="n">
        <x:v>1</x:v>
      </x:c>
    </x:row>
    <x:row r="136">
      <x:c r="A136" s="30" t="str">
        <x:v>IEW-L260814-QVDZ</x:v>
      </x:c>
      <x:c r="B136" s="48" t="n">
        <x:v>3</x:v>
      </x:c>
      <x:c r="C136" s="49" t="n">
        <x:v>9.5</x:v>
      </x:c>
      <x:c r="D136" s="50" t="n">
        <x:v>1</x:v>
      </x:c>
    </x:row>
    <x:row r="137">
      <x:c r="A137" s="30" t="str">
        <x:v>IEW-L260814-QVDZ</x:v>
      </x:c>
      <x:c r="B137" s="48" t="n">
        <x:v>4</x:v>
      </x:c>
      <x:c r="C137" s="49" t="n">
        <x:v>4</x:v>
      </x:c>
      <x:c r="D137" s="50" t="n">
        <x:v>1</x:v>
      </x:c>
    </x:row>
    <x:row r="138">
      <x:c r="A138" s="30" t="str">
        <x:v>IEW-L260814-QVDZ</x:v>
      </x:c>
      <x:c r="B138" s="48" t="n">
        <x:v>5</x:v>
      </x:c>
      <x:c r="C138" s="49" t="n">
        <x:v>0.75</x:v>
      </x:c>
      <x:c r="D138" s="50" t="n">
        <x:v>1</x:v>
      </x:c>
    </x:row>
    <x:row r="139">
      <x:c r="A139" s="30" t="str">
        <x:v>HOE-L260817-PL7U</x:v>
      </x:c>
      <x:c r="B139" s="48" t="n">
        <x:v>1</x:v>
      </x:c>
      <x:c r="C139" s="49" t="n">
        <x:v>285</x:v>
      </x:c>
      <x:c r="D139" s="50" t="n">
        <x:v>30</x:v>
      </x:c>
    </x:row>
    <x:row r="140">
      <x:c r="A140" s="30" t="str">
        <x:v>HOE-L260817-PL7U</x:v>
      </x:c>
      <x:c r="B140" s="48" t="n">
        <x:v>2</x:v>
      </x:c>
      <x:c r="C140" s="49" t="n">
        <x:v>285</x:v>
      </x:c>
      <x:c r="D140" s="50" t="n">
        <x:v>30</x:v>
      </x:c>
    </x:row>
    <x:row r="141">
      <x:c r="A141" s="30" t="str">
        <x:v>HOE-L260817-PL7U</x:v>
      </x:c>
      <x:c r="B141" s="48" t="n">
        <x:v>3</x:v>
      </x:c>
      <x:c r="C141" s="49" t="n">
        <x:v>108.75</x:v>
      </x:c>
      <x:c r="D141" s="50" t="n">
        <x:v>15</x:v>
      </x:c>
    </x:row>
    <x:row r="142">
      <x:c r="A142" s="30" t="str">
        <x:v>YLU-L260817-VCBW</x:v>
      </x:c>
      <x:c r="B142" s="48" t="n">
        <x:v>1</x:v>
      </x:c>
      <x:c r="C142" s="49" t="n">
        <x:v>48.75</x:v>
      </x:c>
      <x:c r="D142" s="50" t="n">
        <x:v>5</x:v>
      </x:c>
    </x:row>
    <x:row r="143">
      <x:c r="A143" s="30" t="str">
        <x:v>YLU-L260817-VCBW</x:v>
      </x:c>
      <x:c r="B143" s="48" t="n">
        <x:v>2</x:v>
      </x:c>
      <x:c r="C143" s="49" t="n">
        <x:v>38</x:v>
      </x:c>
      <x:c r="D143" s="50" t="n">
        <x:v>4</x:v>
      </x:c>
    </x:row>
    <x:row r="144">
      <x:c r="A144" s="30" t="str">
        <x:v>YLU-L260817-VCBW</x:v>
      </x:c>
      <x:c r="B144" s="48" t="n">
        <x:v>3</x:v>
      </x:c>
      <x:c r="C144" s="49" t="n">
        <x:v>57</x:v>
      </x:c>
      <x:c r="D144" s="50" t="n">
        <x:v>6</x:v>
      </x:c>
    </x:row>
    <x:row r="145">
      <x:c r="A145" s="30" t="str">
        <x:v>YLU-L260817-VCBW</x:v>
      </x:c>
      <x:c r="B145" s="48" t="n">
        <x:v>4</x:v>
      </x:c>
      <x:c r="C145" s="49" t="n">
        <x:v>38</x:v>
      </x:c>
      <x:c r="D145" s="50" t="n">
        <x:v>4</x:v>
      </x:c>
    </x:row>
    <x:row r="146">
      <x:c r="A146" s="30" t="str">
        <x:v>YLU-L260817-VCBW</x:v>
      </x:c>
      <x:c r="B146" s="48" t="n">
        <x:v>5</x:v>
      </x:c>
      <x:c r="C146" s="49" t="n">
        <x:v>24.75</x:v>
      </x:c>
      <x:c r="D146" s="50" t="n">
        <x:v>3</x:v>
      </x:c>
    </x:row>
    <x:row r="147">
      <x:c r="A147" s="30" t="str">
        <x:v>YLU-L260817-VCBW</x:v>
      </x:c>
      <x:c r="B147" s="48" t="n">
        <x:v>6</x:v>
      </x:c>
      <x:c r="C147" s="49" t="n">
        <x:v>21.75</x:v>
      </x:c>
      <x:c r="D147" s="50" t="n">
        <x:v>3</x:v>
      </x:c>
    </x:row>
    <x:row r="148">
      <x:c r="A148" s="30" t="str">
        <x:v>MNW-L260818-MWL3</x:v>
      </x:c>
      <x:c r="B148" s="48" t="n">
        <x:v>1</x:v>
      </x:c>
      <x:c r="C148" s="49" t="n">
        <x:v>75</x:v>
      </x:c>
      <x:c r="D148" s="50" t="n">
        <x:v>1</x:v>
      </x:c>
    </x:row>
    <x:row r="149">
      <x:c r="A149" s="30" t="str">
        <x:v>MNW-L260818-MWL3</x:v>
      </x:c>
      <x:c r="B149" s="48" t="n">
        <x:v>2</x:v>
      </x:c>
      <x:c r="C149" s="49" t="n">
        <x:v>25</x:v>
      </x:c>
      <x:c r="D149" s="50" t="n">
        <x:v>1</x:v>
      </x:c>
    </x:row>
    <x:row r="150">
      <x:c r="A150" s="30" t="str">
        <x:v>MNW-L260818-MWL3</x:v>
      </x:c>
      <x:c r="B150" s="48" t="n">
        <x:v>3</x:v>
      </x:c>
      <x:c r="C150" s="49" t="n">
        <x:v>300</x:v>
      </x:c>
      <x:c r="D150" s="50" t="n">
        <x:v>3</x:v>
      </x:c>
    </x:row>
    <x:row r="151">
      <x:c r="A151" s="30" t="str">
        <x:v>MNW-L260818-MWL3</x:v>
      </x:c>
      <x:c r="B151" s="48" t="n">
        <x:v>4</x:v>
      </x:c>
      <x:c r="C151" s="49" t="n">
        <x:v>100</x:v>
      </x:c>
      <x:c r="D151" s="50" t="n">
        <x:v>1</x:v>
      </x:c>
    </x:row>
    <x:row r="152">
      <x:c r="A152" s="30" t="str">
        <x:v>MNW-L260818-MWL3</x:v>
      </x:c>
      <x:c r="B152" s="48" t="n">
        <x:v>5</x:v>
      </x:c>
      <x:c r="C152" s="49" t="n">
        <x:v>50</x:v>
      </x:c>
      <x:c r="D152" s="50" t="n">
        <x:v>1</x:v>
      </x:c>
    </x:row>
    <x:row r="153">
      <x:c r="A153" s="30" t="str">
        <x:v>MNW-L260818-MWL3</x:v>
      </x:c>
      <x:c r="B153" s="48" t="n">
        <x:v>6</x:v>
      </x:c>
      <x:c r="C153" s="49" t="n">
        <x:v>100</x:v>
      </x:c>
      <x:c r="D153" s="50" t="n">
        <x:v>2</x:v>
      </x:c>
    </x:row>
    <x:row r="154">
      <x:c r="A154" s="30" t="str">
        <x:v>MNW-L260818-MWL3</x:v>
      </x:c>
      <x:c r="B154" s="48" t="n">
        <x:v>7</x:v>
      </x:c>
      <x:c r="C154" s="49" t="n">
        <x:v>60</x:v>
      </x:c>
      <x:c r="D154" s="50" t="n">
        <x:v>2</x:v>
      </x:c>
    </x:row>
    <x:row r="155">
      <x:c r="A155" s="30" t="str">
        <x:v>MNW-L260818-MWL3</x:v>
      </x:c>
      <x:c r="B155" s="48" t="n">
        <x:v>8</x:v>
      </x:c>
      <x:c r="C155" s="49" t="n">
        <x:v>100</x:v>
      </x:c>
      <x:c r="D155" s="50" t="n">
        <x:v>2</x:v>
      </x:c>
    </x:row>
    <x:row r="156">
      <x:c r="A156" s="30" t="str">
        <x:v>MNW-L260818-MWL3</x:v>
      </x:c>
      <x:c r="B156" s="48" t="n">
        <x:v>9</x:v>
      </x:c>
      <x:c r="C156" s="49" t="n">
        <x:v>70</x:v>
      </x:c>
      <x:c r="D156" s="50" t="n">
        <x:v>1</x:v>
      </x:c>
    </x:row>
    <x:row r="157">
      <x:c r="A157" s="30" t="str">
        <x:v>NGJ-L260820-5PR7</x:v>
      </x:c>
      <x:c r="B157" s="48" t="n">
        <x:v>1</x:v>
      </x:c>
      <x:c r="C157" s="49" t="n">
        <x:v>24.75</x:v>
      </x:c>
      <x:c r="D157" s="50" t="n">
        <x:v>3</x:v>
      </x:c>
    </x:row>
    <x:row r="158">
      <x:c r="A158" s="30" t="str">
        <x:v>NGJ-L260820-5PR7</x:v>
      </x:c>
      <x:c r="B158" s="48" t="n">
        <x:v>2</x:v>
      </x:c>
      <x:c r="C158" s="49" t="n">
        <x:v>28.5</x:v>
      </x:c>
      <x:c r="D158" s="50" t="n">
        <x:v>3</x:v>
      </x:c>
    </x:row>
    <x:row r="159">
      <x:c r="A159" s="30" t="str">
        <x:v>NGJ-L260820-5PR7</x:v>
      </x:c>
      <x:c r="B159" s="48" t="n">
        <x:v>3</x:v>
      </x:c>
      <x:c r="C159" s="49" t="n">
        <x:v>28.5</x:v>
      </x:c>
      <x:c r="D159" s="50" t="n">
        <x:v>3</x:v>
      </x:c>
    </x:row>
    <x:row r="160">
      <x:c r="A160" s="30" t="str">
        <x:v>NGJ-L260820-5PR7</x:v>
      </x:c>
      <x:c r="B160" s="48" t="n">
        <x:v>4</x:v>
      </x:c>
      <x:c r="C160" s="49" t="n">
        <x:v>400</x:v>
      </x:c>
      <x:c r="D160" s="50" t="n">
        <x:v>4</x:v>
      </x:c>
    </x:row>
    <x:row r="161">
      <x:c r="A161" s="30" t="str">
        <x:v>NGJ-L260820-5PR7</x:v>
      </x:c>
      <x:c r="B161" s="48" t="n">
        <x:v>5</x:v>
      </x:c>
      <x:c r="C161" s="49" t="n">
        <x:v>300</x:v>
      </x:c>
      <x:c r="D161" s="50" t="n">
        <x:v>3</x:v>
      </x:c>
    </x:row>
    <x:row r="162">
      <x:c r="A162" s="30" t="str">
        <x:v>NGJ-L260820-5PR7</x:v>
      </x:c>
      <x:c r="B162" s="48" t="n">
        <x:v>6</x:v>
      </x:c>
      <x:c r="C162" s="49" t="n">
        <x:v>50</x:v>
      </x:c>
      <x:c r="D162" s="50" t="n">
        <x:v>1</x:v>
      </x:c>
    </x:row>
    <x:row r="163">
      <x:c r="A163" s="30" t="str">
        <x:v>NGJ-L260820-5PR7</x:v>
      </x:c>
      <x:c r="B163" s="48" t="n">
        <x:v>7</x:v>
      </x:c>
      <x:c r="C163" s="49" t="n">
        <x:v>300</x:v>
      </x:c>
      <x:c r="D163" s="50" t="n">
        <x:v>3</x:v>
      </x:c>
    </x:row>
    <x:row r="164">
      <x:c r="A164" s="30" t="str">
        <x:v>NGJ-L260820-5PR7</x:v>
      </x:c>
      <x:c r="B164" s="48" t="n">
        <x:v>8</x:v>
      </x:c>
      <x:c r="C164" s="49" t="n">
        <x:v>24</x:v>
      </x:c>
      <x:c r="D164" s="50" t="n">
        <x:v>4</x:v>
      </x:c>
    </x:row>
    <x:row r="165">
      <x:c r="A165" s="30" t="str">
        <x:v>NGJ-L260820-5PR7</x:v>
      </x:c>
      <x:c r="B165" s="48" t="n">
        <x:v>9</x:v>
      </x:c>
      <x:c r="C165" s="49" t="n">
        <x:v>24</x:v>
      </x:c>
      <x:c r="D165" s="50" t="n">
        <x:v>4</x:v>
      </x:c>
    </x:row>
    <x:row r="166">
      <x:c r="A166" s="30" t="str">
        <x:v>NGJ-L260820-5PR7</x:v>
      </x:c>
      <x:c r="B166" s="48" t="n">
        <x:v>10</x:v>
      </x:c>
      <x:c r="C166" s="49" t="n">
        <x:v>225</x:v>
      </x:c>
      <x:c r="D166" s="50" t="n">
        <x:v>3</x:v>
      </x:c>
    </x:row>
    <x:row r="167">
      <x:c r="A167" s="30" t="str">
        <x:v>NGJ-L260820-5PR7</x:v>
      </x:c>
      <x:c r="B167" s="48" t="n">
        <x:v>11</x:v>
      </x:c>
      <x:c r="C167" s="49" t="n">
        <x:v>240</x:v>
      </x:c>
      <x:c r="D167" s="50" t="n">
        <x:v>2</x:v>
      </x:c>
    </x:row>
    <x:row r="168">
      <x:c r="A168" s="30" t="str">
        <x:v>NGJ-L260820-5PR7</x:v>
      </x:c>
      <x:c r="B168" s="48" t="n">
        <x:v>12</x:v>
      </x:c>
      <x:c r="C168" s="49" t="n">
        <x:v>245</x:v>
      </x:c>
      <x:c r="D168" s="50" t="n">
        <x:v>7</x:v>
      </x:c>
    </x:row>
    <x:row r="169">
      <x:c r="A169" s="30" t="str">
        <x:v>NGJ-L260820-5PR7</x:v>
      </x:c>
      <x:c r="B169" s="48" t="n">
        <x:v>13</x:v>
      </x:c>
      <x:c r="C169" s="49" t="n">
        <x:v>120</x:v>
      </x:c>
      <x:c r="D169" s="50" t="n">
        <x:v>4</x:v>
      </x:c>
    </x:row>
    <x:row r="170">
      <x:c r="A170" s="30" t="str">
        <x:v>NGJ-L260820-5PR7</x:v>
      </x:c>
      <x:c r="B170" s="48" t="n">
        <x:v>14</x:v>
      </x:c>
      <x:c r="C170" s="49" t="n">
        <x:v>250</x:v>
      </x:c>
      <x:c r="D170" s="50" t="n">
        <x:v>5</x:v>
      </x:c>
    </x:row>
    <x:row r="171">
      <x:c r="A171" s="30" t="str">
        <x:v>GNC-L260821-KZ5S</x:v>
      </x:c>
      <x:c r="B171" s="48" t="n">
        <x:v>1</x:v>
      </x:c>
      <x:c r="C171" s="49" t="n">
        <x:v>100</x:v>
      </x:c>
      <x:c r="D171" s="50" t="n">
        <x:v>1</x:v>
      </x:c>
    </x:row>
    <x:row r="172">
      <x:c r="A172" s="30" t="str">
        <x:v>GNC-L260821-KZ5S</x:v>
      </x:c>
      <x:c r="B172" s="48" t="n">
        <x:v>2</x:v>
      </x:c>
      <x:c r="C172" s="49" t="n">
        <x:v>100</x:v>
      </x:c>
      <x:c r="D172" s="50" t="n">
        <x:v>2</x:v>
      </x:c>
    </x:row>
    <x:row r="173">
      <x:c r="A173" s="30" t="str">
        <x:v>GNC-L260821-KZ5S</x:v>
      </x:c>
      <x:c r="B173" s="48" t="n">
        <x:v>3</x:v>
      </x:c>
      <x:c r="C173" s="49" t="n">
        <x:v>75</x:v>
      </x:c>
      <x:c r="D173" s="50" t="n">
        <x:v>1</x:v>
      </x:c>
    </x:row>
    <x:row r="174">
      <x:c r="A174" s="30" t="str">
        <x:v>GNC-L260821-KZ5S</x:v>
      </x:c>
      <x:c r="B174" s="48" t="n">
        <x:v>4</x:v>
      </x:c>
      <x:c r="C174" s="49" t="n">
        <x:v>70</x:v>
      </x:c>
      <x:c r="D174" s="50" t="n">
        <x:v>1</x:v>
      </x:c>
    </x:row>
    <x:row r="175">
      <x:c r="A175" s="30" t="str">
        <x:v>GNC-L260821-KZ5S</x:v>
      </x:c>
      <x:c r="B175" s="48" t="n">
        <x:v>5</x:v>
      </x:c>
      <x:c r="C175" s="49" t="n">
        <x:v>30</x:v>
      </x:c>
      <x:c r="D175" s="50" t="n">
        <x:v>1</x:v>
      </x:c>
    </x:row>
    <x:row r="176">
      <x:c r="A176" s="30" t="str">
        <x:v>GNC-L260821-KZ5S</x:v>
      </x:c>
      <x:c r="B176" s="48" t="n">
        <x:v>6</x:v>
      </x:c>
      <x:c r="C176" s="49" t="n">
        <x:v>50</x:v>
      </x:c>
      <x:c r="D176" s="50" t="n">
        <x:v>1</x:v>
      </x:c>
    </x:row>
    <x:row r="177">
      <x:c r="A177" s="30" t="str">
        <x:v>GNC-L260821-KZ5S</x:v>
      </x:c>
      <x:c r="B177" s="48" t="n">
        <x:v>7</x:v>
      </x:c>
      <x:c r="C177" s="49" t="n">
        <x:v>60</x:v>
      </x:c>
      <x:c r="D177" s="50" t="n">
        <x:v>10</x:v>
      </x:c>
    </x:row>
    <x:row r="178">
      <x:c r="A178" s="30" t="str">
        <x:v>GNC-L260821-KZ5S</x:v>
      </x:c>
      <x:c r="B178" s="48" t="n">
        <x:v>8</x:v>
      </x:c>
      <x:c r="C178" s="49" t="n">
        <x:v>60</x:v>
      </x:c>
      <x:c r="D178" s="50" t="n">
        <x:v>10</x:v>
      </x:c>
    </x:row>
    <x:row r="179">
      <x:c r="A179" s="30" t="str">
        <x:v>FWE-L260821-QWZ1</x:v>
      </x:c>
      <x:c r="B179" s="48" t="n">
        <x:v>1</x:v>
      </x:c>
      <x:c r="C179" s="49" t="n">
        <x:v>33</x:v>
      </x:c>
      <x:c r="D179" s="50" t="n">
        <x:v>4</x:v>
      </x:c>
    </x:row>
    <x:row r="180">
      <x:c r="A180" s="30" t="str">
        <x:v>FWE-L260821-QWZ1</x:v>
      </x:c>
      <x:c r="B180" s="48" t="n">
        <x:v>2</x:v>
      </x:c>
      <x:c r="C180" s="49" t="n">
        <x:v>19</x:v>
      </x:c>
      <x:c r="D180" s="50" t="n">
        <x:v>2</x:v>
      </x:c>
    </x:row>
    <x:row r="181">
      <x:c r="A181" s="30" t="str">
        <x:v>FWE-L260821-QWZ1</x:v>
      </x:c>
      <x:c r="B181" s="48" t="n">
        <x:v>3</x:v>
      </x:c>
      <x:c r="C181" s="49" t="n">
        <x:v>19.5</x:v>
      </x:c>
      <x:c r="D181" s="50" t="n">
        <x:v>2</x:v>
      </x:c>
    </x:row>
    <x:row r="182">
      <x:c r="A182" s="30" t="str">
        <x:v>FWE-L260821-QWZ1</x:v>
      </x:c>
      <x:c r="B182" s="48" t="n">
        <x:v>4</x:v>
      </x:c>
      <x:c r="C182" s="49" t="n">
        <x:v>9.5</x:v>
      </x:c>
      <x:c r="D182" s="50" t="n">
        <x:v>1</x:v>
      </x:c>
    </x:row>
    <x:row r="183">
      <x:c r="A183" s="30" t="str">
        <x:v>FWE-L260821-QWZ1</x:v>
      </x:c>
      <x:c r="B183" s="48" t="n">
        <x:v>5</x:v>
      </x:c>
      <x:c r="C183" s="49" t="n">
        <x:v>41.25</x:v>
      </x:c>
      <x:c r="D183" s="50" t="n">
        <x:v>5</x:v>
      </x:c>
    </x:row>
    <x:row r="184">
      <x:c r="A184" s="30" t="str">
        <x:v>FWE-L260821-QWZ1</x:v>
      </x:c>
      <x:c r="B184" s="48" t="n">
        <x:v>6</x:v>
      </x:c>
      <x:c r="C184" s="49" t="n">
        <x:v>28.5</x:v>
      </x:c>
      <x:c r="D184" s="50" t="n">
        <x:v>3</x:v>
      </x:c>
    </x:row>
    <x:row r="185">
      <x:c r="A185" s="30" t="str">
        <x:v>FWE-L260821-QWZ1</x:v>
      </x:c>
      <x:c r="B185" s="48" t="n">
        <x:v>7</x:v>
      </x:c>
      <x:c r="C185" s="49" t="n">
        <x:v>8.25</x:v>
      </x:c>
      <x:c r="D185" s="50" t="n">
        <x:v>1</x:v>
      </x:c>
    </x:row>
    <x:row r="186">
      <x:c r="A186" s="30" t="str">
        <x:v>FWE-L260821-QWZ1</x:v>
      </x:c>
      <x:c r="B186" s="48" t="n">
        <x:v>8</x:v>
      </x:c>
      <x:c r="C186" s="49" t="n">
        <x:v>7.25</x:v>
      </x:c>
      <x:c r="D186" s="50" t="n">
        <x:v>1</x:v>
      </x:c>
    </x:row>
    <x:row r="187">
      <x:c r="A187" s="30" t="str">
        <x:v>FWE-L260821-QWZ1</x:v>
      </x:c>
      <x:c r="B187" s="48" t="n">
        <x:v>9</x:v>
      </x:c>
      <x:c r="C187" s="49" t="n">
        <x:v>8.25</x:v>
      </x:c>
      <x:c r="D187" s="50" t="n">
        <x:v>1</x:v>
      </x:c>
    </x:row>
    <x:row r="188">
      <x:c r="A188" s="30" t="str">
        <x:v>FWE-L260821-QWZ1</x:v>
      </x:c>
      <x:c r="B188" s="48" t="n">
        <x:v>10</x:v>
      </x:c>
      <x:c r="C188" s="49" t="n">
        <x:v>16.5</x:v>
      </x:c>
      <x:c r="D188" s="50" t="n">
        <x:v>2</x:v>
      </x:c>
    </x:row>
    <x:row r="189">
      <x:c r="A189" s="30" t="str">
        <x:v>FWE-L260821-QWZ1</x:v>
      </x:c>
      <x:c r="B189" s="48" t="n">
        <x:v>11</x:v>
      </x:c>
      <x:c r="C189" s="49" t="n">
        <x:v>1.5</x:v>
      </x:c>
      <x:c r="D189" s="50" t="n">
        <x:v>2</x:v>
      </x:c>
    </x:row>
    <x:row r="190">
      <x:c r="A190" s="30" t="str">
        <x:v>TFP-D260821-Y1QJ</x:v>
      </x:c>
      <x:c r="B190" s="48" t="n">
        <x:v>1</x:v>
      </x:c>
      <x:c r="C190" s="49" t="n">
        <x:v>146.25</x:v>
      </x:c>
      <x:c r="D190" s="50" t="n">
        <x:v>15</x:v>
      </x:c>
    </x:row>
    <x:row r="191">
      <x:c r="A191" s="30" t="str">
        <x:v>TFP-D260821-Y1QJ</x:v>
      </x:c>
      <x:c r="B191" s="48" t="n">
        <x:v>2</x:v>
      </x:c>
      <x:c r="C191" s="49" t="n">
        <x:v>97.5</x:v>
      </x:c>
      <x:c r="D191" s="50" t="n">
        <x:v>10</x:v>
      </x:c>
    </x:row>
    <x:row r="192">
      <x:c r="A192" s="30" t="str">
        <x:v>TFP-D260821-Y1QJ</x:v>
      </x:c>
      <x:c r="B192" s="48" t="n">
        <x:v>3</x:v>
      </x:c>
      <x:c r="C192" s="49" t="n">
        <x:v>95</x:v>
      </x:c>
      <x:c r="D192" s="50" t="n">
        <x:v>10</x:v>
      </x:c>
    </x:row>
    <x:row r="193">
      <x:c r="A193" s="30" t="str">
        <x:v>TFP-D260821-Y1QJ</x:v>
      </x:c>
      <x:c r="B193" s="48" t="n">
        <x:v>4</x:v>
      </x:c>
      <x:c r="C193" s="49" t="n">
        <x:v>72.5</x:v>
      </x:c>
      <x:c r="D193" s="50" t="n">
        <x:v>10</x:v>
      </x:c>
    </x:row>
    <x:row r="194">
      <x:c r="A194" s="30" t="str">
        <x:v>ADF-L260824-YLNK</x:v>
      </x:c>
      <x:c r="B194" s="48" t="n">
        <x:v>1</x:v>
      </x:c>
      <x:c r="C194" s="49" t="n">
        <x:v>50</x:v>
      </x:c>
      <x:c r="D194" s="50" t="n">
        <x:v>1</x:v>
      </x:c>
    </x:row>
    <x:row r="195">
      <x:c r="A195" s="30" t="str">
        <x:v>ADF-L260824-YLNK</x:v>
      </x:c>
      <x:c r="B195" s="48" t="n">
        <x:v>2</x:v>
      </x:c>
      <x:c r="C195" s="49" t="n">
        <x:v>24.75</x:v>
      </x:c>
      <x:c r="D195" s="50" t="n">
        <x:v>3</x:v>
      </x:c>
    </x:row>
    <x:row r="196">
      <x:c r="A196" s="30" t="str">
        <x:v>ADF-L260824-YLNK</x:v>
      </x:c>
      <x:c r="B196" s="48" t="n">
        <x:v>3</x:v>
      </x:c>
      <x:c r="C196" s="49" t="n">
        <x:v>28.5</x:v>
      </x:c>
      <x:c r="D196" s="50" t="n">
        <x:v>3</x:v>
      </x:c>
    </x:row>
    <x:row r="197">
      <x:c r="A197" s="30" t="str">
        <x:v>ADF-L260824-YLNK</x:v>
      </x:c>
      <x:c r="B197" s="48" t="n">
        <x:v>4</x:v>
      </x:c>
      <x:c r="C197" s="49" t="n">
        <x:v>29.25</x:v>
      </x:c>
      <x:c r="D197" s="50" t="n">
        <x:v>3</x:v>
      </x:c>
    </x:row>
    <x:row r="198">
      <x:c r="A198" s="30" t="str">
        <x:v>ADF-L260824-YLNK</x:v>
      </x:c>
      <x:c r="B198" s="48" t="n">
        <x:v>5</x:v>
      </x:c>
      <x:c r="C198" s="49" t="n">
        <x:v>100</x:v>
      </x:c>
      <x:c r="D198" s="50" t="n">
        <x:v>1</x:v>
      </x:c>
    </x:row>
    <x:row r="199">
      <x:c r="A199" s="30" t="str">
        <x:v>ADF-L260824-YLNK</x:v>
      </x:c>
      <x:c r="B199" s="48" t="n">
        <x:v>6</x:v>
      </x:c>
      <x:c r="C199" s="49" t="n">
        <x:v>100</x:v>
      </x:c>
      <x:c r="D199" s="50" t="n">
        <x:v>1</x:v>
      </x:c>
    </x:row>
    <x:row r="200">
      <x:c r="A200" s="30" t="str">
        <x:v>ADF-L260824-YLNK</x:v>
      </x:c>
      <x:c r="B200" s="48" t="n">
        <x:v>7</x:v>
      </x:c>
      <x:c r="C200" s="49" t="n">
        <x:v>50</x:v>
      </x:c>
      <x:c r="D200" s="50" t="n">
        <x:v>1</x:v>
      </x:c>
    </x:row>
    <x:row r="201">
      <x:c r="A201" s="30" t="str">
        <x:v>ADF-L260824-YLNK</x:v>
      </x:c>
      <x:c r="B201" s="48" t="n">
        <x:v>8</x:v>
      </x:c>
      <x:c r="C201" s="49" t="n">
        <x:v>200</x:v>
      </x:c>
      <x:c r="D201" s="50" t="n">
        <x:v>2</x:v>
      </x:c>
    </x:row>
    <x:row r="202">
      <x:c r="A202" s="30" t="str">
        <x:v>ADF-L260824-YLNK</x:v>
      </x:c>
      <x:c r="B202" s="48" t="n">
        <x:v>9</x:v>
      </x:c>
      <x:c r="C202" s="49" t="n">
        <x:v>120</x:v>
      </x:c>
      <x:c r="D202" s="50" t="n">
        <x:v>1</x:v>
      </x:c>
    </x:row>
    <x:row r="203">
      <x:c r="A203" s="30" t="str">
        <x:v>ADF-L260824-YLNK</x:v>
      </x:c>
      <x:c r="B203" s="48" t="n">
        <x:v>10</x:v>
      </x:c>
      <x:c r="C203" s="49" t="n">
        <x:v>75</x:v>
      </x:c>
      <x:c r="D203" s="50" t="n">
        <x:v>1</x:v>
      </x:c>
    </x:row>
    <x:row r="204">
      <x:c r="A204" s="30" t="str">
        <x:v>ADF-L260824-YLNK</x:v>
      </x:c>
      <x:c r="B204" s="48" t="n">
        <x:v>11</x:v>
      </x:c>
      <x:c r="C204" s="49" t="n">
        <x:v>100</x:v>
      </x:c>
      <x:c r="D204" s="50" t="n">
        <x:v>2</x:v>
      </x:c>
    </x:row>
    <x:row r="205">
      <x:c r="A205" s="30" t="str">
        <x:v>ADF-L260824-YLNK</x:v>
      </x:c>
      <x:c r="B205" s="48" t="n">
        <x:v>12</x:v>
      </x:c>
      <x:c r="C205" s="49" t="n">
        <x:v>60</x:v>
      </x:c>
      <x:c r="D205" s="50" t="n">
        <x:v>2</x:v>
      </x:c>
    </x:row>
    <x:row r="206">
      <x:c r="A206" s="30" t="str">
        <x:v>ADF-L260824-YLNK</x:v>
      </x:c>
      <x:c r="B206" s="48" t="n">
        <x:v>13</x:v>
      </x:c>
      <x:c r="C206" s="49" t="n">
        <x:v>164</x:v>
      </x:c>
      <x:c r="D206" s="50" t="n">
        <x:v>4</x:v>
      </x:c>
    </x:row>
    <x:row r="207">
      <x:c r="A207" s="30" t="str">
        <x:v>ADF-L260824-YLNK</x:v>
      </x:c>
      <x:c r="B207" s="48" t="n">
        <x:v>14</x:v>
      </x:c>
      <x:c r="C207" s="49" t="n">
        <x:v>180</x:v>
      </x:c>
      <x:c r="D207" s="50" t="n">
        <x:v>3</x:v>
      </x:c>
    </x:row>
    <x:row r="208">
      <x:c r="A208" s="30" t="str">
        <x:v>IEW-L260824-QVDZ</x:v>
      </x:c>
      <x:c r="B208" s="48" t="n">
        <x:v>1</x:v>
      </x:c>
      <x:c r="C208" s="49" t="n">
        <x:v>9.5</x:v>
      </x:c>
      <x:c r="D208" s="50" t="n">
        <x:v>1</x:v>
      </x:c>
    </x:row>
    <x:row r="209">
      <x:c r="A209" s="30" t="str">
        <x:v>IEW-L260824-QVDZ</x:v>
      </x:c>
      <x:c r="B209" s="48" t="n">
        <x:v>2</x:v>
      </x:c>
      <x:c r="C209" s="49" t="n">
        <x:v>9.5</x:v>
      </x:c>
      <x:c r="D209" s="50" t="n">
        <x:v>1</x:v>
      </x:c>
    </x:row>
    <x:row r="210">
      <x:c r="A210" s="30" t="str">
        <x:v>KAT-L260824-XKEP</x:v>
      </x:c>
      <x:c r="B210" s="48" t="n">
        <x:v>1</x:v>
      </x:c>
      <x:c r="C210" s="49" t="n">
        <x:v>9.5</x:v>
      </x:c>
      <x:c r="D210" s="50" t="n">
        <x:v>1</x:v>
      </x:c>
    </x:row>
    <x:row r="211">
      <x:c r="A211" s="30" t="str">
        <x:v>JQH-D260825-TSA8</x:v>
      </x:c>
      <x:c r="B211" s="48" t="n">
        <x:v>1</x:v>
      </x:c>
      <x:c r="C211" s="49" t="n">
        <x:v>9.5</x:v>
      </x:c>
      <x:c r="D211" s="50" t="n">
        <x:v>1</x:v>
      </x:c>
    </x:row>
    <x:row r="212">
      <x:c r="A212" s="30" t="str">
        <x:v>JQH-D260825-TSA8</x:v>
      </x:c>
      <x:c r="B212" s="48" t="n">
        <x:v>2</x:v>
      </x:c>
      <x:c r="C212" s="49" t="n">
        <x:v>9.5</x:v>
      </x:c>
      <x:c r="D212" s="50" t="n">
        <x:v>1</x:v>
      </x:c>
    </x:row>
    <x:row r="213">
      <x:c r="A213" s="30" t="str">
        <x:v>JQH-D260825-TSA8</x:v>
      </x:c>
      <x:c r="B213" s="48" t="n">
        <x:v>3</x:v>
      </x:c>
      <x:c r="C213" s="49" t="n">
        <x:v>8.25</x:v>
      </x:c>
      <x:c r="D213" s="50" t="n">
        <x:v>1</x:v>
      </x:c>
    </x:row>
    <x:row r="214">
      <x:c r="A214" s="30" t="str">
        <x:v>JQH-L260826-TSA8</x:v>
      </x:c>
      <x:c r="B214" s="48" t="n">
        <x:v>1</x:v>
      </x:c>
      <x:c r="C214" s="49" t="n">
        <x:v>38</x:v>
      </x:c>
      <x:c r="D214" s="50" t="n">
        <x:v>4</x:v>
      </x:c>
    </x:row>
    <x:row r="215">
      <x:c r="A215" s="30" t="str">
        <x:v>JQH-L260826-TSA8</x:v>
      </x:c>
      <x:c r="B215" s="48" t="n">
        <x:v>2</x:v>
      </x:c>
      <x:c r="C215" s="49" t="n">
        <x:v>24.75</x:v>
      </x:c>
      <x:c r="D215" s="50" t="n">
        <x:v>3</x:v>
      </x:c>
    </x:row>
    <x:row r="216">
      <x:c r="A216" s="30" t="str">
        <x:v>JQH-L260826-TSA8</x:v>
      </x:c>
      <x:c r="B216" s="48" t="n">
        <x:v>3</x:v>
      </x:c>
      <x:c r="C216" s="49" t="n">
        <x:v>9.5</x:v>
      </x:c>
      <x:c r="D216" s="50" t="n">
        <x:v>1</x:v>
      </x:c>
    </x:row>
    <x:row r="217">
      <x:c r="A217" s="30" t="str">
        <x:v>JQH-L260826-TSA8</x:v>
      </x:c>
      <x:c r="B217" s="48" t="n">
        <x:v>4</x:v>
      </x:c>
      <x:c r="C217" s="49" t="n">
        <x:v>19</x:v>
      </x:c>
      <x:c r="D217" s="50" t="n">
        <x:v>2</x:v>
      </x:c>
    </x:row>
    <x:row r="218">
      <x:c r="A218" s="30" t="str">
        <x:v>JQH-L260826-TSA8</x:v>
      </x:c>
      <x:c r="B218" s="48" t="n">
        <x:v>5</x:v>
      </x:c>
      <x:c r="C218" s="49" t="n">
        <x:v>8.75</x:v>
      </x:c>
      <x:c r="D218" s="50" t="n">
        <x:v>1</x:v>
      </x:c>
    </x:row>
    <x:row r="219">
      <x:c r="A219" s="30" t="str">
        <x:v>JQH-L260826-TSA8</x:v>
      </x:c>
      <x:c r="B219" s="48" t="n">
        <x:v>6</x:v>
      </x:c>
      <x:c r="C219" s="49" t="n">
        <x:v>66.5</x:v>
      </x:c>
      <x:c r="D219" s="50" t="n">
        <x:v>7</x:v>
      </x:c>
    </x:row>
    <x:row r="220">
      <x:c r="A220" s="30" t="str">
        <x:v>JQH-L260826-TSA8</x:v>
      </x:c>
      <x:c r="B220" s="48" t="n">
        <x:v>7</x:v>
      </x:c>
      <x:c r="C220" s="49" t="n">
        <x:v>19</x:v>
      </x:c>
      <x:c r="D220" s="50" t="n">
        <x:v>2</x:v>
      </x:c>
    </x:row>
    <x:row r="221">
      <x:c r="A221" s="30" t="str">
        <x:v>JQH-L260826-TSA8</x:v>
      </x:c>
      <x:c r="B221" s="48" t="n">
        <x:v>8</x:v>
      </x:c>
      <x:c r="C221" s="49" t="n">
        <x:v>28.5</x:v>
      </x:c>
      <x:c r="D221" s="50" t="n">
        <x:v>3</x:v>
      </x:c>
    </x:row>
    <x:row r="222">
      <x:c r="A222" s="30" t="str">
        <x:v>JQH-L260826-TSA8</x:v>
      </x:c>
      <x:c r="B222" s="48" t="n">
        <x:v>9</x:v>
      </x:c>
      <x:c r="C222" s="49" t="n">
        <x:v>9.5</x:v>
      </x:c>
      <x:c r="D222" s="50" t="n">
        <x:v>1</x:v>
      </x:c>
    </x:row>
    <x:row r="223">
      <x:c r="A223" s="30" t="str">
        <x:v>JQH-L260826-TSA8</x:v>
      </x:c>
      <x:c r="B223" s="48" t="n">
        <x:v>10</x:v>
      </x:c>
      <x:c r="C223" s="49" t="n">
        <x:v>9.5</x:v>
      </x:c>
      <x:c r="D223" s="50" t="n">
        <x:v>1</x:v>
      </x:c>
    </x:row>
    <x:row r="224">
      <x:c r="A224" s="30" t="str">
        <x:v>JQH-L260826-TSA8</x:v>
      </x:c>
      <x:c r="B224" s="48" t="n">
        <x:v>11</x:v>
      </x:c>
      <x:c r="C224" s="49" t="n">
        <x:v>48.75</x:v>
      </x:c>
      <x:c r="D224" s="50" t="n">
        <x:v>5</x:v>
      </x:c>
    </x:row>
    <x:row r="225">
      <x:c r="A225" s="30" t="str">
        <x:v>JQH-L260826-TSA8</x:v>
      </x:c>
      <x:c r="B225" s="48" t="n">
        <x:v>12</x:v>
      </x:c>
      <x:c r="C225" s="49" t="n">
        <x:v>68.25</x:v>
      </x:c>
      <x:c r="D225" s="50" t="n">
        <x:v>7</x:v>
      </x:c>
    </x:row>
    <x:row r="226">
      <x:c r="A226" s="30" t="str">
        <x:v>JQH-L260826-TSA8</x:v>
      </x:c>
      <x:c r="B226" s="48" t="n">
        <x:v>13</x:v>
      </x:c>
      <x:c r="C226" s="49" t="n">
        <x:v>49.5</x:v>
      </x:c>
      <x:c r="D226" s="50" t="n">
        <x:v>6</x:v>
      </x:c>
    </x:row>
    <x:row r="227">
      <x:c r="A227" s="30" t="str">
        <x:v>JQH-L260826-TSA8</x:v>
      </x:c>
      <x:c r="B227" s="48" t="n">
        <x:v>14</x:v>
      </x:c>
      <x:c r="C227" s="49" t="n">
        <x:v>8.25</x:v>
      </x:c>
      <x:c r="D227" s="50" t="n">
        <x:v>1</x:v>
      </x:c>
    </x:row>
    <x:row r="228">
      <x:c r="A228" s="30" t="str">
        <x:v>JQH-L260826-TSA8</x:v>
      </x:c>
      <x:c r="B228" s="48" t="n">
        <x:v>15</x:v>
      </x:c>
      <x:c r="C228" s="49" t="n">
        <x:v>8.25</x:v>
      </x:c>
      <x:c r="D228" s="50" t="n">
        <x:v>1</x:v>
      </x:c>
    </x:row>
    <x:row r="229">
      <x:c r="A229" s="30" t="str">
        <x:v>JQH-L260826-TSA8</x:v>
      </x:c>
      <x:c r="B229" s="48" t="n">
        <x:v>16</x:v>
      </x:c>
      <x:c r="C229" s="49" t="n">
        <x:v>9.5</x:v>
      </x:c>
      <x:c r="D229" s="50" t="n">
        <x:v>1</x:v>
      </x:c>
    </x:row>
    <x:row r="230">
      <x:c r="A230" s="30" t="str">
        <x:v>JQH-L260826-TSA8</x:v>
      </x:c>
      <x:c r="B230" s="48" t="n">
        <x:v>17</x:v>
      </x:c>
      <x:c r="C230" s="49" t="n">
        <x:v>8.75</x:v>
      </x:c>
      <x:c r="D230" s="50" t="n">
        <x:v>1</x:v>
      </x:c>
    </x:row>
    <x:row r="231">
      <x:c r="A231" s="30" t="str">
        <x:v>JQH-L260826-TSA8</x:v>
      </x:c>
      <x:c r="B231" s="48" t="n">
        <x:v>18</x:v>
      </x:c>
      <x:c r="C231" s="49" t="n">
        <x:v>6</x:v>
      </x:c>
      <x:c r="D231" s="50" t="n">
        <x:v>2</x:v>
      </x:c>
    </x:row>
    <x:row r="232">
      <x:c r="A232" s="30" t="str">
        <x:v>JQH-L260826-TSA8</x:v>
      </x:c>
      <x:c r="B232" s="48" t="n">
        <x:v>19</x:v>
      </x:c>
      <x:c r="C232" s="49" t="n">
        <x:v>4</x:v>
      </x:c>
      <x:c r="D232" s="50" t="n">
        <x:v>1</x:v>
      </x:c>
    </x:row>
    <x:row r="233">
      <x:c r="A233" s="30" t="str">
        <x:v>JQH-L260826-TSA8</x:v>
      </x:c>
      <x:c r="B233" s="48" t="n">
        <x:v>20</x:v>
      </x:c>
      <x:c r="C233" s="49" t="n">
        <x:v>3</x:v>
      </x:c>
      <x:c r="D233" s="50" t="n">
        <x:v>1</x:v>
      </x:c>
    </x:row>
    <x:row r="234">
      <x:c r="A234" s="30" t="str">
        <x:v>PIJ-L260826-DJRZ</x:v>
      </x:c>
      <x:c r="B234" s="48" t="n">
        <x:v>1</x:v>
      </x:c>
      <x:c r="C234" s="49" t="n">
        <x:v>19</x:v>
      </x:c>
      <x:c r="D234" s="50" t="n">
        <x:v>2</x:v>
      </x:c>
    </x:row>
    <x:row r="235">
      <x:c r="A235" s="30" t="str">
        <x:v>PIJ-L260826-DJRZ</x:v>
      </x:c>
      <x:c r="B235" s="48" t="n">
        <x:v>2</x:v>
      </x:c>
      <x:c r="C235" s="49" t="n">
        <x:v>7.25</x:v>
      </x:c>
      <x:c r="D235" s="50" t="n">
        <x:v>1</x:v>
      </x:c>
    </x:row>
    <x:row r="236">
      <x:c r="A236" s="30" t="str">
        <x:v>PIJ-L260826-DJRZ</x:v>
      </x:c>
      <x:c r="B236" s="48" t="n">
        <x:v>3</x:v>
      </x:c>
      <x:c r="C236" s="49" t="n">
        <x:v>7.25</x:v>
      </x:c>
      <x:c r="D236" s="50" t="n">
        <x:v>1</x:v>
      </x:c>
    </x:row>
    <x:row r="237">
      <x:c r="A237" s="30" t="str">
        <x:v>PIJ-L260826-DJRZ</x:v>
      </x:c>
      <x:c r="B237" s="48" t="n">
        <x:v>4</x:v>
      </x:c>
      <x:c r="C237" s="49" t="n">
        <x:v>8.25</x:v>
      </x:c>
      <x:c r="D237" s="50" t="n">
        <x:v>1</x:v>
      </x:c>
    </x:row>
    <x:row r="238">
      <x:c r="A238" s="30" t="str">
        <x:v>PIJ-L260826-DJRZ</x:v>
      </x:c>
      <x:c r="B238" s="48" t="n">
        <x:v>5</x:v>
      </x:c>
      <x:c r="C238" s="49" t="n">
        <x:v>29.25</x:v>
      </x:c>
      <x:c r="D238" s="50" t="n">
        <x:v>3</x:v>
      </x:c>
    </x:row>
    <x:row r="239">
      <x:c r="A239" s="30" t="str">
        <x:v>PIJ-L260826-DJRZ</x:v>
      </x:c>
      <x:c r="B239" s="48" t="n">
        <x:v>6</x:v>
      </x:c>
      <x:c r="C239" s="49" t="n">
        <x:v>19.5</x:v>
      </x:c>
      <x:c r="D239" s="50" t="n">
        <x:v>2</x:v>
      </x:c>
    </x:row>
    <x:row r="240">
      <x:c r="A240" s="30" t="str">
        <x:v>PIJ-L260826-DJRZ</x:v>
      </x:c>
      <x:c r="B240" s="48" t="n">
        <x:v>7</x:v>
      </x:c>
      <x:c r="C240" s="49" t="n">
        <x:v>9.5</x:v>
      </x:c>
      <x:c r="D240" s="50" t="n">
        <x:v>1</x:v>
      </x:c>
    </x:row>
    <x:row r="241">
      <x:c r="A241" s="30" t="str">
        <x:v>PIJ-L260826-DJRZ</x:v>
      </x:c>
      <x:c r="B241" s="48" t="n">
        <x:v>8</x:v>
      </x:c>
      <x:c r="C241" s="49" t="n">
        <x:v>19</x:v>
      </x:c>
      <x:c r="D241" s="50" t="n">
        <x:v>2</x:v>
      </x:c>
    </x:row>
    <x:row r="242">
      <x:c r="A242" s="30" t="str">
        <x:v>PIJ-L260826-DJRZ</x:v>
      </x:c>
      <x:c r="B242" s="48" t="n">
        <x:v>9</x:v>
      </x:c>
      <x:c r="C242" s="49" t="n">
        <x:v>9.5</x:v>
      </x:c>
      <x:c r="D242" s="50" t="n">
        <x:v>1</x:v>
      </x:c>
    </x:row>
    <x:row r="243">
      <x:c r="A243" s="30" t="str">
        <x:v>PIJ-L260826-DJRZ</x:v>
      </x:c>
      <x:c r="B243" s="48" t="n">
        <x:v>10</x:v>
      </x:c>
      <x:c r="C243" s="49" t="n">
        <x:v>19</x:v>
      </x:c>
      <x:c r="D243" s="50" t="n">
        <x:v>2</x:v>
      </x:c>
    </x:row>
    <x:row r="244">
      <x:c r="A244" s="30" t="str">
        <x:v>PIJ-L260826-DJRZ</x:v>
      </x:c>
      <x:c r="B244" s="48" t="n">
        <x:v>11</x:v>
      </x:c>
      <x:c r="C244" s="49" t="n">
        <x:v>57</x:v>
      </x:c>
      <x:c r="D244" s="50" t="n">
        <x:v>6</x:v>
      </x:c>
    </x:row>
    <x:row r="245">
      <x:c r="A245" s="30" t="str">
        <x:v>PIJ-L260826-DJRZ</x:v>
      </x:c>
      <x:c r="B245" s="48" t="n">
        <x:v>12</x:v>
      </x:c>
      <x:c r="C245" s="49" t="n">
        <x:v>19</x:v>
      </x:c>
      <x:c r="D245" s="50" t="n">
        <x:v>2</x:v>
      </x:c>
    </x:row>
    <x:row r="246">
      <x:c r="A246" s="30" t="str">
        <x:v>PIJ-L260826-DJRZ</x:v>
      </x:c>
      <x:c r="B246" s="48" t="n">
        <x:v>13</x:v>
      </x:c>
      <x:c r="C246" s="49" t="n">
        <x:v>8.25</x:v>
      </x:c>
      <x:c r="D246" s="50" t="n">
        <x:v>1</x:v>
      </x:c>
    </x:row>
    <x:row r="247">
      <x:c r="A247" s="30" t="str">
        <x:v>PIJ-L260826-DJRZ</x:v>
      </x:c>
      <x:c r="B247" s="48" t="n">
        <x:v>14</x:v>
      </x:c>
      <x:c r="C247" s="49" t="n">
        <x:v>16.5</x:v>
      </x:c>
      <x:c r="D247" s="50" t="n">
        <x:v>2</x:v>
      </x:c>
    </x:row>
    <x:row r="248">
      <x:c r="A248" s="30" t="str">
        <x:v>PIJ-L260826-DJRZ</x:v>
      </x:c>
      <x:c r="B248" s="48" t="n">
        <x:v>15</x:v>
      </x:c>
      <x:c r="C248" s="49" t="n">
        <x:v>29.25</x:v>
      </x:c>
      <x:c r="D248" s="50" t="n">
        <x:v>3</x:v>
      </x:c>
    </x:row>
    <x:row r="249">
      <x:c r="A249" s="30" t="str">
        <x:v>PIJ-L260826-DJRZ</x:v>
      </x:c>
      <x:c r="B249" s="48" t="n">
        <x:v>16</x:v>
      </x:c>
      <x:c r="C249" s="49" t="n">
        <x:v>9.5</x:v>
      </x:c>
      <x:c r="D249" s="50" t="n">
        <x:v>1</x:v>
      </x:c>
    </x:row>
    <x:row r="250">
      <x:c r="A250" s="30" t="str">
        <x:v>PIJ-L260826-DJRZ</x:v>
      </x:c>
      <x:c r="B250" s="48" t="n">
        <x:v>17</x:v>
      </x:c>
      <x:c r="C250" s="49" t="n">
        <x:v>24.75</x:v>
      </x:c>
      <x:c r="D250" s="50" t="n">
        <x:v>3</x:v>
      </x:c>
    </x:row>
    <x:row r="251">
      <x:c r="A251" s="30" t="str">
        <x:v>PIJ-L260826-DJRZ</x:v>
      </x:c>
      <x:c r="B251" s="48" t="n">
        <x:v>18</x:v>
      </x:c>
      <x:c r="C251" s="49" t="n">
        <x:v>9.5</x:v>
      </x:c>
      <x:c r="D251" s="50" t="n">
        <x:v>1</x:v>
      </x:c>
    </x:row>
    <x:row r="252">
      <x:c r="A252" s="30" t="str">
        <x:v>PIJ-L260826-DJRZ</x:v>
      </x:c>
      <x:c r="B252" s="48" t="n">
        <x:v>19</x:v>
      </x:c>
      <x:c r="C252" s="49" t="n">
        <x:v>12</x:v>
      </x:c>
      <x:c r="D252" s="50" t="n">
        <x:v>4</x:v>
      </x:c>
    </x:row>
    <x:row r="253">
      <x:c r="A253" s="30" t="str">
        <x:v>PIJ-L260826-DJRZ</x:v>
      </x:c>
      <x:c r="B253" s="48" t="n">
        <x:v>20</x:v>
      </x:c>
      <x:c r="C253" s="49" t="n">
        <x:v>0.75</x:v>
      </x:c>
      <x:c r="D253" s="50" t="n">
        <x:v>1</x:v>
      </x:c>
    </x:row>
    <x:row r="254">
      <x:c r="A254" s="30" t="str">
        <x:v>SEC-L260826-N562</x:v>
      </x:c>
      <x:c r="B254" s="48" t="n">
        <x:v>1</x:v>
      </x:c>
      <x:c r="C254" s="49" t="n">
        <x:v>8.75</x:v>
      </x:c>
      <x:c r="D254" s="50" t="n">
        <x:v>1</x:v>
      </x:c>
    </x:row>
    <x:row r="255">
      <x:c r="A255" s="30" t="str">
        <x:v>SEC-L260826-N562</x:v>
      </x:c>
      <x:c r="B255" s="48" t="n">
        <x:v>2</x:v>
      </x:c>
      <x:c r="C255" s="49" t="n">
        <x:v>8.25</x:v>
      </x:c>
      <x:c r="D255" s="50" t="n">
        <x:v>1</x:v>
      </x:c>
    </x:row>
    <x:row r="256">
      <x:c r="A256" s="30" t="str">
        <x:v>SEC-L260826-N562</x:v>
      </x:c>
      <x:c r="B256" s="48" t="n">
        <x:v>3</x:v>
      </x:c>
      <x:c r="C256" s="49" t="n">
        <x:v>9.75</x:v>
      </x:c>
      <x:c r="D256" s="50" t="n">
        <x:v>1</x:v>
      </x:c>
    </x:row>
    <x:row r="257">
      <x:c r="A257" s="30" t="str">
        <x:v>SEC-L260826-N562</x:v>
      </x:c>
      <x:c r="B257" s="48" t="n">
        <x:v>4</x:v>
      </x:c>
      <x:c r="C257" s="49" t="n">
        <x:v>9.5</x:v>
      </x:c>
      <x:c r="D257" s="50" t="n">
        <x:v>1</x:v>
      </x:c>
    </x:row>
    <x:row r="258">
      <x:c r="A258" s="30" t="str">
        <x:v>SEC-L260826-N562</x:v>
      </x:c>
      <x:c r="B258" s="48" t="n">
        <x:v>5</x:v>
      </x:c>
      <x:c r="C258" s="49" t="n">
        <x:v>19</x:v>
      </x:c>
      <x:c r="D258" s="50" t="n">
        <x:v>2</x:v>
      </x:c>
    </x:row>
    <x:row r="259">
      <x:c r="A259" s="30" t="str">
        <x:v>SEC-L260826-N562</x:v>
      </x:c>
      <x:c r="B259" s="48" t="n">
        <x:v>6</x:v>
      </x:c>
      <x:c r="C259" s="49" t="n">
        <x:v>8.25</x:v>
      </x:c>
      <x:c r="D259" s="50" t="n">
        <x:v>1</x:v>
      </x:c>
    </x:row>
    <x:row r="260">
      <x:c r="A260" s="30" t="str">
        <x:v>SEC-L260826-N562</x:v>
      </x:c>
      <x:c r="B260" s="48" t="n">
        <x:v>7</x:v>
      </x:c>
      <x:c r="C260" s="49" t="n">
        <x:v>6</x:v>
      </x:c>
      <x:c r="D260" s="50" t="n">
        <x:v>2</x:v>
      </x:c>
    </x:row>
    <x:row r="261">
      <x:c r="A261" s="30" t="str">
        <x:v>SEC-L260826-N562</x:v>
      </x:c>
      <x:c r="B261" s="48" t="n">
        <x:v>8</x:v>
      </x:c>
      <x:c r="C261" s="49" t="n">
        <x:v>9</x:v>
      </x:c>
      <x:c r="D261" s="50" t="n">
        <x:v>3</x:v>
      </x:c>
    </x:row>
    <x:row r="262">
      <x:c r="A262" s="30" t="str">
        <x:v>SEC-L260826-N562</x:v>
      </x:c>
      <x:c r="B262" s="48" t="n">
        <x:v>9</x:v>
      </x:c>
      <x:c r="C262" s="49" t="n">
        <x:v>8</x:v>
      </x:c>
      <x:c r="D262" s="50" t="n">
        <x:v>2</x:v>
      </x:c>
    </x:row>
    <x:row r="263">
      <x:c r="A263" s="30" t="str">
        <x:v>KNH-L260828-41ET</x:v>
      </x:c>
      <x:c r="B263" s="48" t="n">
        <x:v>1</x:v>
      </x:c>
      <x:c r="C263" s="49" t="n">
        <x:v>9.75</x:v>
      </x:c>
      <x:c r="D263" s="50" t="n">
        <x:v>1</x:v>
      </x:c>
    </x:row>
    <x:row r="264">
      <x:c r="A264" s="30" t="str">
        <x:v>KNH-L260828-41ET</x:v>
      </x:c>
      <x:c r="B264" s="48" t="n">
        <x:v>2</x:v>
      </x:c>
      <x:c r="C264" s="49" t="n">
        <x:v>16.5</x:v>
      </x:c>
      <x:c r="D264" s="50" t="n">
        <x:v>2</x:v>
      </x:c>
    </x:row>
    <x:row r="265">
      <x:c r="A265" s="30" t="str">
        <x:v>KNH-L260828-41ET</x:v>
      </x:c>
      <x:c r="B265" s="48" t="n">
        <x:v>3</x:v>
      </x:c>
      <x:c r="C265" s="49" t="n">
        <x:v>0.75</x:v>
      </x:c>
      <x:c r="D265" s="50" t="n">
        <x:v>1</x:v>
      </x:c>
    </x:row>
    <x:row r="266">
      <x:c r="A266" s="30" t="str">
        <x:v>KNH-L260828-41ET</x:v>
      </x:c>
      <x:c r="B266" s="48" t="n">
        <x:v>4</x:v>
      </x:c>
      <x:c r="C266" s="49" t="n">
        <x:v>4</x:v>
      </x:c>
      <x:c r="D266" s="50" t="n">
        <x:v>1</x:v>
      </x:c>
    </x:row>
    <x:row r="267">
      <x:c r="A267" s="30" t="str">
        <x:v>NGJ-L260831-5PR7</x:v>
      </x:c>
      <x:c r="B267" s="48" t="n">
        <x:v>1</x:v>
      </x:c>
      <x:c r="C267" s="49" t="n">
        <x:v>29.25</x:v>
      </x:c>
      <x:c r="D267" s="50" t="n">
        <x:v>3</x:v>
      </x:c>
    </x:row>
    <x:row r="268">
      <x:c r="A268" s="30" t="str">
        <x:v>NGJ-L260831-5PR7</x:v>
      </x:c>
      <x:c r="B268" s="48" t="n">
        <x:v>2</x:v>
      </x:c>
      <x:c r="C268" s="49" t="n">
        <x:v>28.5</x:v>
      </x:c>
      <x:c r="D268" s="50" t="n">
        <x:v>3</x:v>
      </x:c>
    </x:row>
    <x:row r="269">
      <x:c r="A269" s="30" t="str">
        <x:v>NGJ-L260831-5PR7</x:v>
      </x:c>
      <x:c r="B269" s="48" t="n">
        <x:v>3</x:v>
      </x:c>
      <x:c r="C269" s="49" t="n">
        <x:v>28.5</x:v>
      </x:c>
      <x:c r="D269" s="50" t="n">
        <x:v>3</x:v>
      </x:c>
    </x:row>
    <x:row r="270">
      <x:c r="A270" s="30" t="str">
        <x:v>NGJ-L260831-5PR7</x:v>
      </x:c>
      <x:c r="B270" s="48" t="n">
        <x:v>4</x:v>
      </x:c>
      <x:c r="C270" s="49" t="n">
        <x:v>400</x:v>
      </x:c>
      <x:c r="D270" s="50" t="n">
        <x:v>4</x:v>
      </x:c>
    </x:row>
    <x:row r="271">
      <x:c r="A271" s="30" t="str">
        <x:v>NGJ-L260831-5PR7</x:v>
      </x:c>
      <x:c r="B271" s="48" t="n">
        <x:v>5</x:v>
      </x:c>
      <x:c r="C271" s="49" t="n">
        <x:v>300</x:v>
      </x:c>
      <x:c r="D271" s="50" t="n">
        <x:v>3</x:v>
      </x:c>
    </x:row>
    <x:row r="272">
      <x:c r="A272" s="30" t="str">
        <x:v>NGJ-L260831-5PR7</x:v>
      </x:c>
      <x:c r="B272" s="48" t="n">
        <x:v>6</x:v>
      </x:c>
      <x:c r="C272" s="49" t="n">
        <x:v>300</x:v>
      </x:c>
      <x:c r="D272" s="50" t="n">
        <x:v>3</x:v>
      </x:c>
    </x:row>
    <x:row r="273">
      <x:c r="A273" s="30" t="str">
        <x:v>NGJ-L260831-5PR7</x:v>
      </x:c>
      <x:c r="B273" s="48" t="n">
        <x:v>7</x:v>
      </x:c>
      <x:c r="C273" s="49" t="n">
        <x:v>225</x:v>
      </x:c>
      <x:c r="D273" s="50" t="n">
        <x:v>3</x:v>
      </x:c>
    </x:row>
    <x:row r="274">
      <x:c r="A274" s="30" t="str">
        <x:v>NGJ-L260831-5PR7</x:v>
      </x:c>
      <x:c r="B274" s="48" t="n">
        <x:v>8</x:v>
      </x:c>
      <x:c r="C274" s="49" t="n">
        <x:v>240</x:v>
      </x:c>
      <x:c r="D274" s="50" t="n">
        <x:v>2</x:v>
      </x:c>
    </x:row>
    <x:row r="275">
      <x:c r="A275" s="30" t="str">
        <x:v>NGJ-L260831-5PR7</x:v>
      </x:c>
      <x:c r="B275" s="48" t="n">
        <x:v>9</x:v>
      </x:c>
      <x:c r="C275" s="49" t="n">
        <x:v>250</x:v>
      </x:c>
      <x:c r="D275" s="50" t="n">
        <x:v>5</x:v>
      </x:c>
    </x:row>
    <x:row r="276">
      <x:c r="A276" s="30" t="str">
        <x:v>NGJ-L260831-5PR7</x:v>
      </x:c>
      <x:c r="B276" s="48" t="n">
        <x:v>10</x:v>
      </x:c>
      <x:c r="C276" s="49" t="n">
        <x:v>120</x:v>
      </x:c>
      <x:c r="D276" s="50" t="n">
        <x:v>4</x:v>
      </x:c>
    </x:row>
    <x:row r="277">
      <x:c r="A277" s="30" t="str">
        <x:v>NGJ-L260831-5PR7</x:v>
      </x:c>
      <x:c r="B277" s="48" t="n">
        <x:v>11</x:v>
      </x:c>
      <x:c r="C277" s="49" t="n">
        <x:v>287</x:v>
      </x:c>
      <x:c r="D277" s="50" t="n">
        <x:v>7</x:v>
      </x:c>
    </x:row>
    <x:row r="278">
      <x:c r="A278" s="30" t="str">
        <x:v>NGJ-L260831-5PR7</x:v>
      </x:c>
      <x:c r="B278" s="48" t="n">
        <x:v>12</x:v>
      </x:c>
      <x:c r="C278" s="49" t="n">
        <x:v>36</x:v>
      </x:c>
      <x:c r="D278" s="50" t="n">
        <x:v>6</x:v>
      </x:c>
    </x:row>
  </x:sheetData>
  <x:mergeCells>
    <x:mergeCell ref="A1:H1"/>
    <x:mergeCell ref="A2:H2"/>
  </x:mergeCells>
  <x:conditionalFormatting sqref="A5:D278">
    <x:cfRule type="expression" dxfId="2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f088dfcf4f4fbf"/>
  </x:tableParts>
</x:worksheet>
</file>