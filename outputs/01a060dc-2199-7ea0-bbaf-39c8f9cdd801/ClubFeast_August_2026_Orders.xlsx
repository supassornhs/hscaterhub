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2aaa4f6be547d5" /></Relationships>
</file>

<file path=xl/workbook.xml><?xml version="1.0" encoding="utf-8"?>
<x:workbook xmlns:x="http://schemas.openxmlformats.org/spreadsheetml/2006/main">
  <x:sheets>
    <x:sheet xmlns:r="http://schemas.openxmlformats.org/officeDocument/2006/relationships" name="Summary" sheetId="1" r:id="R0620532c949d45c7"/>
    <x:sheet xmlns:r="http://schemas.openxmlformats.org/officeDocument/2006/relationships" name="Orders" sheetId="2" r:id="R72f7e935b9ff4bbb"/>
    <x:sheet xmlns:r="http://schemas.openxmlformats.org/officeDocument/2006/relationships" name="Meal Breakdown" sheetId="3" r:id="R9b50e617f7034fff"/>
    <x:sheet xmlns:r="http://schemas.openxmlformats.org/officeDocument/2006/relationships" name="Dish Summary" sheetId="4" r:id="R6b271eb51ea84de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quot;$&quot;#,##0.00"/>
  </x:numFmts>
  <x:fonts count="10">
    <x:font>
      <x:sz val="11"/>
      <x:name val="Carlito"/>
    </x:font>
    <x:font>
      <x:b/>
      <x:sz val="11"/>
      <x:color rgb="FF17324D"/>
      <x:name val="Carlito"/>
    </x:font>
    <x:font>
      <x:sz val="10"/>
      <x:color rgb="FF243746"/>
      <x:name val="Aptos"/>
    </x:font>
    <x:font>
      <x:b/>
      <x:sz val="10"/>
      <x:color rgb="FF243746"/>
      <x:name val="Aptos"/>
    </x:font>
    <x:font>
      <x:b/>
      <x:sz val="10"/>
      <x:color rgb="FFFFFFFF"/>
      <x:name val="Aptos"/>
    </x:font>
    <x:font>
      <x:b/>
      <x:sz val="20"/>
      <x:color rgb="FFFFFFFF"/>
      <x:name val="Aptos Display"/>
    </x:font>
    <x:font>
      <x:b/>
      <x:sz val="10"/>
      <x:color rgb="FF17324D"/>
      <x:name val="Aptos"/>
    </x:font>
    <x:font>
      <x:b/>
      <x:sz val="18"/>
      <x:color rgb="FF17324D"/>
      <x:name val="Aptos Display"/>
    </x:font>
    <x:font>
      <x:b/>
      <x:sz val="11"/>
      <x:color rgb="FF755600"/>
      <x:name val="Aptos"/>
    </x:font>
    <x:font>
      <x:b/>
      <x:sz val="12"/>
      <x:color rgb="FFFFFFFF"/>
      <x:name val="Aptos"/>
    </x:font>
  </x:fonts>
  <x:fills count="8">
    <x:fill>
      <x:patternFill patternType="none"/>
    </x:fill>
    <x:fill>
      <x:patternFill patternType="gray125"/>
    </x:fill>
    <x:fill>
      <x:patternFill patternType="solid">
        <x:fgColor rgb="FFDDE9F2"/>
      </x:patternFill>
    </x:fill>
    <x:fill>
      <x:patternFill patternType="solid">
        <x:fgColor rgb="FF17324D"/>
      </x:patternFill>
    </x:fill>
    <x:fill>
      <x:patternFill patternType="solid">
        <x:fgColor rgb="FF2A9D8F"/>
      </x:patternFill>
    </x:fill>
    <x:fill>
      <x:patternFill patternType="solid">
        <x:fgColor rgb="FFE9F5F3"/>
      </x:patternFill>
    </x:fill>
    <x:fill>
      <x:patternFill patternType="solid">
        <x:fgColor rgb="FFFFF4CC"/>
      </x:patternFill>
    </x:fill>
    <x:fill>
      <x:patternFill patternType="solid">
        <x:fgColor rgb="FFEEF3F8"/>
      </x:patternFill>
    </x:fill>
  </x:fills>
  <x:borders count="17">
    <x:border/>
    <x:border>
      <x:bottom style="double">
        <x:color rgb="FF17324D"/>
      </x:bottom>
    </x:border>
    <x:border>
      <x:bottom style="thin">
        <x:color rgb="FFCBD5E1"/>
      </x:bottom>
    </x:border>
    <x:border>
      <x:top style="thin">
        <x:color rgb="FFCBD5E1"/>
      </x:top>
      <x:bottom style="thin">
        <x:color rgb="FFCBD5E1"/>
      </x:bottom>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left style="thin">
        <x:color rgb="FFCBD5E1"/>
      </x:left>
      <x:top style="thin">
        <x:color rgb="FFCBD5E1"/>
      </x:top>
    </x:border>
    <x:border>
      <x:right style="thin">
        <x:color rgb="FFCBD5E1"/>
      </x:right>
      <x:top style="thin">
        <x:color rgb="FFCBD5E1"/>
      </x:top>
    </x:border>
    <x:border>
      <x:left style="thin">
        <x:color rgb="FFCBD5E1"/>
      </x:left>
      <x:bottom style="thin">
        <x:color rgb="FFCBD5E1"/>
      </x:bottom>
    </x:border>
    <x:border>
      <x:right style="thin">
        <x:color rgb="FFCBD5E1"/>
      </x:right>
      <x:bottom style="thin">
        <x:color rgb="FFCBD5E1"/>
      </x:bottom>
    </x:border>
    <x:border>
      <x:left style="thin">
        <x:color rgb="FFE5C84B"/>
      </x:left>
      <x:top style="thin">
        <x:color rgb="FFE5C84B"/>
      </x:top>
    </x:border>
    <x:border>
      <x:top style="thin">
        <x:color rgb="FFE5C84B"/>
      </x:top>
    </x:border>
    <x:border>
      <x:right style="thin">
        <x:color rgb="FFE5C84B"/>
      </x:right>
      <x:top style="thin">
        <x:color rgb="FFE5C84B"/>
      </x:top>
    </x:border>
    <x:border>
      <x:left style="thin">
        <x:color rgb="FFE5C84B"/>
      </x:left>
      <x:bottom style="thin">
        <x:color rgb="FFE5C84B"/>
      </x:bottom>
    </x:border>
    <x:border>
      <x:bottom style="thin">
        <x:color rgb="FFE5C84B"/>
      </x:bottom>
    </x:border>
    <x:border>
      <x:right style="thin">
        <x:color rgb="FFE5C84B"/>
      </x:right>
      <x:bottom style="thin">
        <x:color rgb="FFE5C84B"/>
      </x:bottom>
    </x:border>
  </x:borders>
  <x:cellStyleXfs count="1">
    <x:xf numFmtId="0" fontId="0" fillId="0" borderId="0"/>
  </x:cellStyleXfs>
  <x:cellXfs count="9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3" fillId="2"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3" fillId="2" borderId="3" xfId="0" applyNumberFormat="1" applyFont="1" applyFill="1" applyBorder="1"/>
    <x:xf numFmtId="0" fontId="2" fillId="3" borderId="2" xfId="0" applyNumberFormat="1" applyFont="1" applyFill="1" applyBorder="1"/>
    <x:xf numFmtId="0" fontId="4" fillId="3" borderId="2"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4"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4"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200" fontId="2" fillId="0" borderId="3" xfId="0" applyNumberFormat="1" applyFont="1" applyFill="1" applyBorder="1"/>
    <x:xf numFmtId="201" fontId="2" fillId="0" borderId="3" xfId="0" applyNumberFormat="1" applyFont="1" applyFill="1" applyBorder="1"/>
    <x:xf numFmtId="201" fontId="3" fillId="2" borderId="3" xfId="0" applyNumberFormat="1" applyFont="1" applyFill="1" applyBorder="1"/>
    <x:xf numFmtId="202" fontId="2" fillId="0" borderId="3" xfId="0" applyNumberFormat="1" applyFont="1" applyFill="1" applyBorder="1"/>
    <x:xf numFmtId="202" fontId="3" fillId="2" borderId="3" xfId="0" applyNumberFormat="1" applyFont="1" applyFill="1" applyBorder="1"/>
    <x:xf numFmtId="0" fontId="2" fillId="0" borderId="3" xfId="0" applyNumberFormat="1" applyFont="1" applyFill="1" applyBorder="1" applyAlignment="1">
      <x:alignment wrapText="1"/>
    </x:xf>
    <x:xf numFmtId="201" fontId="2" fillId="0" borderId="3" xfId="0" applyNumberFormat="1" applyFont="1" applyFill="1" applyBorder="1" applyAlignment="1">
      <x:alignment wrapText="1"/>
    </x:xf>
    <x:xf numFmtId="202" fontId="2" fillId="0" borderId="3" xfId="0" applyNumberFormat="1" applyFont="1" applyFill="1" applyBorder="1" applyAlignment="1">
      <x:alignment wrapText="1"/>
    </x:xf>
    <x:xf numFmtId="0" fontId="2"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center"/>
    </x:xf>
    <x:xf numFmtId="0" fontId="6" fillId="0" borderId="0" xfId="0" applyNumberFormat="1" applyFont="1" applyFill="1" applyBorder="1"/>
    <x:xf numFmtId="200" fontId="2" fillId="0" borderId="0" xfId="0" applyNumberFormat="1" applyFont="1" applyFill="1" applyBorder="1"/>
    <x:xf numFmtId="0" fontId="2"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2" fillId="5" borderId="0" xfId="0" applyNumberFormat="1" applyFont="1" applyFill="1" applyBorder="1"/>
    <x:xf numFmtId="0" fontId="7" fillId="5" borderId="0"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9" xfId="0" applyNumberFormat="1" applyFont="1" applyFill="1" applyBorder="1"/>
    <x:xf numFmtId="0" fontId="7" fillId="5" borderId="10" xfId="0" applyNumberFormat="1" applyFont="1" applyFill="1" applyBorder="1"/>
    <x:xf numFmtId="201" fontId="7" fillId="5" borderId="7" xfId="0" applyNumberFormat="1" applyFont="1" applyFill="1" applyBorder="1"/>
    <x:xf numFmtId="201" fontId="7" fillId="5" borderId="8" xfId="0" applyNumberFormat="1" applyFont="1" applyFill="1" applyBorder="1"/>
    <x:xf numFmtId="201" fontId="7" fillId="5" borderId="9" xfId="0" applyNumberFormat="1" applyFont="1" applyFill="1" applyBorder="1"/>
    <x:xf numFmtId="201" fontId="7" fillId="5" borderId="10" xfId="0" applyNumberFormat="1" applyFont="1" applyFill="1" applyBorder="1"/>
    <x:xf numFmtId="201" fontId="7" fillId="5" borderId="7" xfId="0" applyNumberFormat="1" applyFont="1" applyFill="1" applyBorder="1" applyAlignment="1">
      <x:alignment horizontal="center"/>
    </x:xf>
    <x:xf numFmtId="201" fontId="7" fillId="5" borderId="8" xfId="0" applyNumberFormat="1" applyFont="1" applyFill="1" applyBorder="1" applyAlignment="1">
      <x:alignment horizontal="center"/>
    </x:xf>
    <x:xf numFmtId="201" fontId="7" fillId="5" borderId="9" xfId="0" applyNumberFormat="1" applyFont="1" applyFill="1" applyBorder="1" applyAlignment="1">
      <x:alignment horizontal="center"/>
    </x:xf>
    <x:xf numFmtId="201" fontId="7" fillId="5" borderId="10" xfId="0" applyNumberFormat="1" applyFont="1" applyFill="1" applyBorder="1" applyAlignment="1">
      <x:alignment horizontal="center"/>
    </x:xf>
    <x:xf numFmtId="201" fontId="7" fillId="5" borderId="7" xfId="0" applyNumberFormat="1" applyFont="1" applyFill="1" applyBorder="1" applyAlignment="1">
      <x:alignment horizontal="center" vertical="center"/>
    </x:xf>
    <x:xf numFmtId="201" fontId="7" fillId="5" borderId="8" xfId="0" applyNumberFormat="1" applyFont="1" applyFill="1" applyBorder="1" applyAlignment="1">
      <x:alignment horizontal="center" vertical="center"/>
    </x:xf>
    <x:xf numFmtId="201" fontId="7" fillId="5" borderId="9" xfId="0" applyNumberFormat="1" applyFont="1" applyFill="1" applyBorder="1" applyAlignment="1">
      <x:alignment horizontal="center" vertical="center"/>
    </x:xf>
    <x:xf numFmtId="201" fontId="7" fillId="5" borderId="10" xfId="0" applyNumberFormat="1" applyFont="1" applyFill="1" applyBorder="1" applyAlignment="1">
      <x:alignment horizontal="center" vertical="center"/>
    </x:xf>
    <x:xf numFmtId="202" fontId="7" fillId="5" borderId="7" xfId="0" applyNumberFormat="1" applyFont="1" applyFill="1" applyBorder="1"/>
    <x:xf numFmtId="202" fontId="7" fillId="5" borderId="8" xfId="0" applyNumberFormat="1" applyFont="1" applyFill="1" applyBorder="1"/>
    <x:xf numFmtId="202" fontId="7" fillId="5" borderId="9" xfId="0" applyNumberFormat="1" applyFont="1" applyFill="1" applyBorder="1"/>
    <x:xf numFmtId="202" fontId="7" fillId="5" borderId="10" xfId="0" applyNumberFormat="1" applyFont="1" applyFill="1" applyBorder="1"/>
    <x:xf numFmtId="202" fontId="7" fillId="5" borderId="7" xfId="0" applyNumberFormat="1" applyFont="1" applyFill="1" applyBorder="1" applyAlignment="1">
      <x:alignment horizontal="center"/>
    </x:xf>
    <x:xf numFmtId="202" fontId="7" fillId="5" borderId="8" xfId="0" applyNumberFormat="1" applyFont="1" applyFill="1" applyBorder="1" applyAlignment="1">
      <x:alignment horizontal="center"/>
    </x:xf>
    <x:xf numFmtId="202" fontId="7" fillId="5" borderId="9" xfId="0" applyNumberFormat="1" applyFont="1" applyFill="1" applyBorder="1" applyAlignment="1">
      <x:alignment horizontal="center"/>
    </x:xf>
    <x:xf numFmtId="202" fontId="7" fillId="5" borderId="10" xfId="0" applyNumberFormat="1" applyFont="1" applyFill="1" applyBorder="1" applyAlignment="1">
      <x:alignment horizontal="center"/>
    </x:xf>
    <x:xf numFmtId="202" fontId="7" fillId="5" borderId="7" xfId="0" applyNumberFormat="1" applyFont="1" applyFill="1" applyBorder="1" applyAlignment="1">
      <x:alignment horizontal="center" vertical="center"/>
    </x:xf>
    <x:xf numFmtId="202" fontId="7" fillId="5" borderId="8" xfId="0" applyNumberFormat="1" applyFont="1" applyFill="1" applyBorder="1" applyAlignment="1">
      <x:alignment horizontal="center" vertical="center"/>
    </x:xf>
    <x:xf numFmtId="202" fontId="7" fillId="5" borderId="9" xfId="0" applyNumberFormat="1" applyFont="1" applyFill="1" applyBorder="1" applyAlignment="1">
      <x:alignment horizontal="center" vertical="center"/>
    </x:xf>
    <x:xf numFmtId="202" fontId="7" fillId="5" borderId="10" xfId="0" applyNumberFormat="1" applyFont="1" applyFill="1" applyBorder="1" applyAlignment="1">
      <x:alignment horizontal="center" vertical="center"/>
    </x:xf>
    <x:xf numFmtId="0" fontId="2" fillId="6" borderId="0" xfId="0" applyNumberFormat="1" applyFont="1" applyFill="1" applyBorder="1"/>
    <x:xf numFmtId="0" fontId="8" fillId="6" borderId="0"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14" xfId="0" applyNumberFormat="1" applyFont="1" applyFill="1" applyBorder="1"/>
    <x:xf numFmtId="0" fontId="8" fillId="6" borderId="15" xfId="0" applyNumberFormat="1" applyFont="1" applyFill="1" applyBorder="1"/>
    <x:xf numFmtId="0" fontId="8" fillId="6" borderId="16" xfId="0" applyNumberFormat="1" applyFont="1" applyFill="1" applyBorder="1"/>
    <x:xf numFmtId="0" fontId="8" fillId="6" borderId="11" xfId="0" applyNumberFormat="1" applyFont="1" applyFill="1" applyBorder="1" applyAlignment="1">
      <x:alignment wrapText="1"/>
    </x:xf>
    <x:xf numFmtId="0" fontId="8" fillId="6" borderId="12" xfId="0" applyNumberFormat="1" applyFont="1" applyFill="1" applyBorder="1" applyAlignment="1">
      <x:alignment wrapText="1"/>
    </x:xf>
    <x:xf numFmtId="0" fontId="8" fillId="6" borderId="13" xfId="0" applyNumberFormat="1" applyFont="1" applyFill="1" applyBorder="1" applyAlignment="1">
      <x:alignment wrapText="1"/>
    </x:xf>
    <x:xf numFmtId="0" fontId="8" fillId="6" borderId="14" xfId="0" applyNumberFormat="1" applyFont="1" applyFill="1" applyBorder="1" applyAlignment="1">
      <x:alignment wrapText="1"/>
    </x:xf>
    <x:xf numFmtId="0" fontId="8" fillId="6" borderId="15" xfId="0" applyNumberFormat="1" applyFont="1" applyFill="1" applyBorder="1" applyAlignment="1">
      <x:alignment wrapText="1"/>
    </x:xf>
    <x:xf numFmtId="0" fontId="8" fillId="6" borderId="16" xfId="0" applyNumberFormat="1" applyFont="1" applyFill="1" applyBorder="1" applyAlignment="1">
      <x:alignment wrapText="1"/>
    </x:xf>
    <x:xf numFmtId="0" fontId="8" fillId="6" borderId="11" xfId="0" applyNumberFormat="1" applyFont="1" applyFill="1" applyBorder="1" applyAlignment="1">
      <x:alignment horizontal="center" wrapText="1"/>
    </x:xf>
    <x:xf numFmtId="0" fontId="8" fillId="6" borderId="12" xfId="0" applyNumberFormat="1" applyFont="1" applyFill="1" applyBorder="1" applyAlignment="1">
      <x:alignment horizontal="center" wrapText="1"/>
    </x:xf>
    <x:xf numFmtId="0" fontId="8" fillId="6" borderId="13" xfId="0" applyNumberFormat="1" applyFont="1" applyFill="1" applyBorder="1" applyAlignment="1">
      <x:alignment horizontal="center" wrapText="1"/>
    </x:xf>
    <x:xf numFmtId="0" fontId="8" fillId="6" borderId="14" xfId="0" applyNumberFormat="1" applyFont="1" applyFill="1" applyBorder="1" applyAlignment="1">
      <x:alignment horizontal="center" wrapText="1"/>
    </x:xf>
    <x:xf numFmtId="0" fontId="8" fillId="6" borderId="15" xfId="0" applyNumberFormat="1" applyFont="1" applyFill="1" applyBorder="1" applyAlignment="1">
      <x:alignment horizontal="center" wrapText="1"/>
    </x:xf>
    <x:xf numFmtId="0" fontId="8" fillId="6" borderId="16" xfId="0" applyNumberFormat="1" applyFont="1" applyFill="1" applyBorder="1" applyAlignment="1">
      <x:alignment horizontal="center" wrapText="1"/>
    </x:xf>
    <x:xf numFmtId="0" fontId="8" fillId="6" borderId="11" xfId="0" applyNumberFormat="1" applyFont="1" applyFill="1" applyBorder="1" applyAlignment="1">
      <x:alignment horizontal="center" vertical="center" wrapText="1"/>
    </x:xf>
    <x:xf numFmtId="0" fontId="8" fillId="6" borderId="12" xfId="0" applyNumberFormat="1" applyFont="1" applyFill="1" applyBorder="1" applyAlignment="1">
      <x:alignment horizontal="center" vertical="center" wrapText="1"/>
    </x:xf>
    <x:xf numFmtId="0" fontId="8" fillId="6" borderId="13" xfId="0" applyNumberFormat="1" applyFont="1" applyFill="1" applyBorder="1" applyAlignment="1">
      <x:alignment horizontal="center" vertical="center" wrapText="1"/>
    </x:xf>
    <x:xf numFmtId="0" fontId="8" fillId="6" borderId="14" xfId="0" applyNumberFormat="1" applyFont="1" applyFill="1" applyBorder="1" applyAlignment="1">
      <x:alignment horizontal="center" vertical="center" wrapText="1"/>
    </x:xf>
    <x:xf numFmtId="0" fontId="8" fillId="6" borderId="15" xfId="0" applyNumberFormat="1" applyFont="1" applyFill="1" applyBorder="1" applyAlignment="1">
      <x:alignment horizontal="center" vertical="center" wrapText="1"/>
    </x:xf>
    <x:xf numFmtId="0" fontId="8" fillId="6" borderId="16" xfId="0" applyNumberFormat="1" applyFont="1" applyFill="1" applyBorder="1" applyAlignment="1">
      <x:alignment horizontal="center" vertical="center" wrapText="1"/>
    </x:xf>
    <x:xf numFmtId="0" fontId="9" fillId="3" borderId="0" xfId="0" applyNumberFormat="1" applyFont="1" applyFill="1" applyBorder="1"/>
    <x:xf numFmtId="0" fontId="2" fillId="7" borderId="0" xfId="0" applyNumberFormat="1" applyFont="1" applyFill="1" applyBorder="1"/>
    <x:xf numFmtId="0" fontId="6" fillId="7" borderId="0" xfId="0" applyNumberFormat="1" applyFont="1" applyFill="1" applyBorder="1"/>
    <x:xf numFmtId="0" fontId="6" fillId="7" borderId="2" xfId="0" applyNumberFormat="1" applyFont="1" applyFill="1" applyBorder="1"/>
    <x:xf numFmtId="201" fontId="2" fillId="0" borderId="0" xfId="0" applyNumberFormat="1" applyFont="1" applyFill="1" applyBorder="1"/>
    <x:xf numFmtId="202"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ee6e6af2614413" /><Relationship Type="http://schemas.openxmlformats.org/officeDocument/2006/relationships/theme" Target="/xl/theme/theme1.xml" Id="R650c5468a3e544c8" /><Relationship Type="http://schemas.openxmlformats.org/officeDocument/2006/relationships/sharedStrings" Target="/xl/sharedStrings.xml" Id="R7e0c102733d34b0c" /><Relationship Type="http://schemas.openxmlformats.org/officeDocument/2006/relationships/worksheet" Target="/xl/worksheets/sheet1.xml" Id="R0620532c949d45c7" /><Relationship Type="http://schemas.openxmlformats.org/officeDocument/2006/relationships/worksheet" Target="/xl/worksheets/sheet2.xml" Id="R72f7e935b9ff4bbb" /><Relationship Type="http://schemas.openxmlformats.org/officeDocument/2006/relationships/worksheet" Target="/xl/worksheets/sheet3.xml" Id="R9b50e617f7034fff" /><Relationship Type="http://schemas.openxmlformats.org/officeDocument/2006/relationships/worksheet" Target="/xl/worksheets/sheet4.xml" Id="R6b271eb51ea84dee" /></Relationships>
</file>

<file path=xl/tables/table1.xml><?xml version="1.0" encoding="utf-8"?>
<x:table xmlns:x="http://schemas.openxmlformats.org/spreadsheetml/2006/main" id="1" name="ClubFeastOrders" displayName="ClubFeastOrders" ref="A1:S6" headerRowCount="1" totalsRowCount="0" totalsRowShown="0">
  <x:tableColumns count="19">
    <x:tableColumn id="1" name="Delivery Date"/>
    <x:tableColumn id="2" name="Window Start"/>
    <x:tableColumn id="3" name="Window End"/>
    <x:tableColumn id="4" name="Order ID"/>
    <x:tableColumn id="5" name="Order Code"/>
    <x:tableColumn id="6" name="Customer"/>
    <x:tableColumn id="7" name="Restaurant"/>
    <x:tableColumn id="8" name="Delivery Address"/>
    <x:tableColumn id="9" name="Meals"/>
    <x:tableColumn id="10" name="Dish Lines"/>
    <x:tableColumn id="11" name="Food Cost $"/>
    <x:tableColumn id="12" name="Utensil Fee $"/>
    <x:tableColumn id="13" name="Subtotal $"/>
    <x:tableColumn id="14" name="Tax $"/>
    <x:tableColumn id="15" name="Order Total $"/>
    <x:tableColumn id="16" name="Invoice ID"/>
    <x:tableColumn id="17" name="VIP"/>
    <x:tableColumn id="18" name="Organization"/>
    <x:tableColumn id="19" name="Delivery Instructions"/>
  </x:tableColumns>
  <x:tableStyleInfo name="TableStyleMedium2" showFirstColumn="0" showLastColumn="0" showRowStripes="1" showColumnStripes="0"/>
</x:table>
</file>

<file path=xl/tables/table2.xml><?xml version="1.0" encoding="utf-8"?>
<x:table xmlns:x="http://schemas.openxmlformats.org/spreadsheetml/2006/main" id="2" name="ClubFeastMeals" displayName="ClubFeastMeals" ref="A1:L16" headerRowCount="1" totalsRowCount="0" totalsRowShown="0">
  <x:tableColumns count="12">
    <x:tableColumn id="1" name="Delivery Date"/>
    <x:tableColumn id="2" name="Order Code"/>
    <x:tableColumn id="3" name="Customer"/>
    <x:tableColumn id="4" name="Dish"/>
    <x:tableColumn id="5" name="Type"/>
    <x:tableColumn id="6" name="Quantity"/>
    <x:tableColumn id="7" name="Serving Size"/>
    <x:tableColumn id="8" name="Unit Cost $"/>
    <x:tableColumn id="9" name="Line Total $"/>
    <x:tableColumn id="10" name="Dietary Tags"/>
    <x:tableColumn id="11" name="Customer Note"/>
    <x:tableColumn id="12" name="Options"/>
  </x:tableColumns>
  <x:tableStyleInfo name="TableStyleMedium2" showFirstColumn="0" showLastColumn="0" showRowStripes="1" showColumnStripes="0"/>
</x:table>
</file>

<file path=xl/tables/table3.xml><?xml version="1.0" encoding="utf-8"?>
<x:table xmlns:x="http://schemas.openxmlformats.org/spreadsheetml/2006/main" id="3" name="ClubFeastDishSummary" displayName="ClubFeastDishSummary" ref="A1:D10" headerRowCount="1" totalsRowCount="0" totalsRowShown="0">
  <x:tableColumns count="4">
    <x:tableColumn id="1" name="Dish"/>
    <x:tableColumn id="2" name="Order Lines"/>
    <x:tableColumn id="3" name="Meals"/>
    <x:tableColumn id="4" name="Food Cost $"/>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d974fea80041e0" /></Relationships>
</file>

<file path=xl/worksheets/_rels/sheet3.xml.rels>&#65279;<?xml version="1.0" encoding="utf-8"?><Relationships xmlns="http://schemas.openxmlformats.org/package/2006/relationships"><Relationship Type="http://schemas.openxmlformats.org/officeDocument/2006/relationships/table" Target="/xl/tables/table2.xml" Id="Ra190cd775a10401a" /></Relationships>
</file>

<file path=xl/worksheets/_rels/sheet4.xml.rels>&#65279;<?xml version="1.0" encoding="utf-8"?><Relationships xmlns="http://schemas.openxmlformats.org/package/2006/relationships"><Relationship Type="http://schemas.openxmlformats.org/officeDocument/2006/relationships/table" Target="/xl/tables/table3.xml" Id="R6dea8004aa3f467d"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30" t="str">
        <x:v>Club Feast Order Summary</x:v>
      </x:c>
      <x:c r="B1" s="30"/>
      <x:c r="C1" s="30"/>
      <x:c r="D1" s="30"/>
      <x:c r="E1" s="30"/>
      <x:c r="F1" s="30"/>
      <x:c r="G1" s="30"/>
      <x:c r="H1" s="30"/>
    </x:row>
    <x:row r="2">
      <x:c r="A2" s="30"/>
      <x:c r="B2" s="30"/>
      <x:c r="C2" s="30"/>
      <x:c r="D2" s="30"/>
      <x:c r="E2" s="30"/>
      <x:c r="F2" s="30"/>
      <x:c r="G2" s="30"/>
      <x:c r="H2" s="30"/>
    </x:row>
    <x:row r="3">
      <x:c r="A3" s="4"/>
      <x:c r="B3" s="4"/>
      <x:c r="C3" s="4"/>
      <x:c r="D3" s="4"/>
      <x:c r="E3" s="4"/>
      <x:c r="F3" s="4"/>
      <x:c r="G3" s="4"/>
      <x:c r="H3" s="4"/>
    </x:row>
    <x:row r="4">
      <x:c r="A4" s="31" t="str">
        <x:v>Source</x:v>
      </x:c>
      <x:c r="B4" s="4" t="str">
        <x:v>clubfeast_latest_raw.json</x:v>
      </x:c>
      <x:c r="C4" s="4"/>
      <x:c r="D4" s="4"/>
      <x:c r="E4" s="4"/>
      <x:c r="F4" s="4"/>
      <x:c r="G4" s="4"/>
      <x:c r="H4" s="4"/>
    </x:row>
    <x:row r="5">
      <x:c r="A5" s="31" t="str">
        <x:v>Restaurant</x:v>
      </x:c>
      <x:c r="B5" s="4" t="str">
        <x:v>Holy Shred (Dinner Menu)</x:v>
      </x:c>
      <x:c r="C5" s="4"/>
      <x:c r="D5" s="4"/>
      <x:c r="E5" s="4"/>
      <x:c r="F5" s="4"/>
      <x:c r="G5" s="4"/>
      <x:c r="H5" s="4"/>
    </x:row>
    <x:row r="6">
      <x:c r="A6" s="31" t="str">
        <x:v>First delivery</x:v>
      </x:c>
      <x:c r="B6" s="32" t="n">
        <x:f>MIN('Orders'!A2:A6)</x:f>
        <x:v>46239.5</x:v>
      </x:c>
      <x:c r="C6" s="4"/>
      <x:c r="D6" s="4"/>
      <x:c r="E6" s="4"/>
      <x:c r="F6" s="4"/>
      <x:c r="G6" s="4"/>
      <x:c r="H6" s="4"/>
    </x:row>
    <x:row r="7">
      <x:c r="A7" s="31" t="str">
        <x:v>Last delivery</x:v>
      </x:c>
      <x:c r="B7" s="32" t="n">
        <x:f>MAX('Orders'!A2:A6)</x:f>
        <x:v>46259.5</x:v>
      </x:c>
      <x:c r="C7" s="4"/>
      <x:c r="D7" s="4"/>
      <x:c r="E7" s="4"/>
      <x:c r="F7" s="4"/>
      <x:c r="G7" s="4"/>
      <x:c r="H7" s="4"/>
    </x:row>
    <x:row r="8">
      <x:c r="A8" s="4"/>
      <x:c r="B8" s="4"/>
      <x:c r="C8" s="4"/>
      <x:c r="D8" s="4"/>
      <x:c r="E8" s="4"/>
      <x:c r="F8" s="4"/>
      <x:c r="G8" s="4"/>
      <x:c r="H8" s="4"/>
    </x:row>
    <x:row r="9">
      <x:c r="A9" s="36" t="str">
        <x:v>Order Packages</x:v>
      </x:c>
      <x:c r="B9" s="36"/>
      <x:c r="C9" s="36" t="str">
        <x:v>Meals</x:v>
      </x:c>
      <x:c r="D9" s="36"/>
      <x:c r="E9" s="36" t="str">
        <x:v>Dish Lines</x:v>
      </x:c>
      <x:c r="F9" s="36"/>
      <x:c r="G9" s="36" t="str">
        <x:v>Order Total $</x:v>
      </x:c>
      <x:c r="H9" s="36"/>
    </x:row>
    <x:row r="10">
      <x:c r="A10" s="51" t="n">
        <x:f>COUNTA('Orders'!E2:E6)</x:f>
        <x:v>5</x:v>
      </x:c>
      <x:c r="B10" s="52"/>
      <x:c r="C10" s="51" t="n">
        <x:f>SUM('Orders'!I2:I6)</x:f>
        <x:v>57</x:v>
      </x:c>
      <x:c r="D10" s="52"/>
      <x:c r="E10" s="51" t="n">
        <x:f>COUNTA('Meal Breakdown'!D2:D16)</x:f>
        <x:v>15</x:v>
      </x:c>
      <x:c r="F10" s="52"/>
      <x:c r="G10" s="63" t="n">
        <x:f>SUM('Orders'!O2:O6)</x:f>
        <x:v>565.83</x:v>
      </x:c>
      <x:c r="H10" s="64"/>
    </x:row>
    <x:row r="11">
      <x:c r="A11" s="53"/>
      <x:c r="B11" s="54"/>
      <x:c r="C11" s="53"/>
      <x:c r="D11" s="54"/>
      <x:c r="E11" s="53"/>
      <x:c r="F11" s="54"/>
      <x:c r="G11" s="65"/>
      <x:c r="H11" s="66"/>
    </x:row>
    <x:row r="12">
      <x:c r="A12" s="4"/>
      <x:c r="B12" s="4"/>
      <x:c r="C12" s="4"/>
      <x:c r="D12" s="4"/>
      <x:c r="E12" s="4"/>
      <x:c r="F12" s="4"/>
      <x:c r="G12" s="4"/>
      <x:c r="H12" s="4"/>
    </x:row>
    <x:row r="13">
      <x:c r="A13" s="36" t="str">
        <x:v>Food Cost $</x:v>
      </x:c>
      <x:c r="B13" s="36"/>
      <x:c r="C13" s="36" t="str">
        <x:v>Utensil Fees $</x:v>
      </x:c>
      <x:c r="D13" s="36"/>
      <x:c r="E13" s="36" t="str">
        <x:v>Tax $</x:v>
      </x:c>
      <x:c r="F13" s="36"/>
      <x:c r="G13" s="36" t="str">
        <x:v>Invoiced Orders</x:v>
      </x:c>
      <x:c r="H13" s="36"/>
    </x:row>
    <x:row r="14">
      <x:c r="A14" s="63" t="n">
        <x:f>SUM('Orders'!K2:K6)</x:f>
        <x:v>518.25</x:v>
      </x:c>
      <x:c r="B14" s="64"/>
      <x:c r="C14" s="63" t="n">
        <x:f>SUM('Orders'!L2:L6)</x:f>
        <x:v>2.85</x:v>
      </x:c>
      <x:c r="D14" s="64"/>
      <x:c r="E14" s="63" t="n">
        <x:f>SUM('Orders'!N2:N6)</x:f>
        <x:v>44.730000000000004</x:v>
      </x:c>
      <x:c r="F14" s="64"/>
      <x:c r="G14" s="51" t="n">
        <x:f>COUNT('Orders'!P2:P6)</x:f>
        <x:v>3</x:v>
      </x:c>
      <x:c r="H14" s="52"/>
    </x:row>
    <x:row r="15">
      <x:c r="A15" s="65"/>
      <x:c r="B15" s="66"/>
      <x:c r="C15" s="65"/>
      <x:c r="D15" s="66"/>
      <x:c r="E15" s="65"/>
      <x:c r="F15" s="66"/>
      <x:c r="G15" s="53"/>
      <x:c r="H15" s="54"/>
    </x:row>
    <x:row r="16">
      <x:c r="A16" s="4"/>
      <x:c r="B16" s="4"/>
      <x:c r="C16" s="4"/>
      <x:c r="D16" s="4"/>
      <x:c r="E16" s="4"/>
      <x:c r="F16" s="4"/>
      <x:c r="G16" s="4"/>
      <x:c r="H16" s="4"/>
    </x:row>
    <x:row r="17">
      <x:c r="A17" s="87" t="str">
        <x:v>5 order packages contain 57 meals. One package can represent many individual meals.</x:v>
      </x:c>
      <x:c r="B17" s="88"/>
      <x:c r="C17" s="88"/>
      <x:c r="D17" s="88"/>
      <x:c r="E17" s="88"/>
      <x:c r="F17" s="88"/>
      <x:c r="G17" s="88"/>
      <x:c r="H17" s="89"/>
    </x:row>
    <x:row r="18">
      <x:c r="A18" s="90"/>
      <x:c r="B18" s="91"/>
      <x:c r="C18" s="91"/>
      <x:c r="D18" s="91"/>
      <x:c r="E18" s="91"/>
      <x:c r="F18" s="91"/>
      <x:c r="G18" s="91"/>
      <x:c r="H18" s="92"/>
    </x:row>
    <x:row r="19">
      <x:c r="A19" s="4"/>
      <x:c r="B19" s="4"/>
      <x:c r="C19" s="4"/>
      <x:c r="D19" s="4"/>
      <x:c r="E19" s="4"/>
      <x:c r="F19" s="4"/>
      <x:c r="G19" s="4"/>
      <x:c r="H19" s="4"/>
    </x:row>
    <x:row r="20">
      <x:c r="A20" s="4"/>
      <x:c r="B20" s="4"/>
      <x:c r="C20" s="4"/>
      <x:c r="D20" s="4"/>
      <x:c r="E20" s="4"/>
      <x:c r="F20" s="4"/>
      <x:c r="G20" s="4"/>
      <x:c r="H20" s="4"/>
    </x:row>
    <x:row r="21">
      <x:c r="A21" s="93" t="str">
        <x:v>Customer breakdown</x:v>
      </x:c>
      <x:c r="B21" s="93"/>
      <x:c r="C21" s="93"/>
      <x:c r="D21" s="93"/>
      <x:c r="E21" s="93"/>
      <x:c r="F21" s="93"/>
      <x:c r="G21" s="93"/>
      <x:c r="H21" s="93"/>
    </x:row>
    <x:row r="22">
      <x:c r="A22" s="96" t="str">
        <x:v>Customer</x:v>
      </x:c>
      <x:c r="B22" s="96" t="str">
        <x:v>Orders</x:v>
      </x:c>
      <x:c r="C22" s="96" t="str">
        <x:v>Meals</x:v>
      </x:c>
      <x:c r="D22" s="96" t="str">
        <x:v>Subtotal $</x:v>
      </x:c>
      <x:c r="E22" s="96" t="str">
        <x:v>Order Total $</x:v>
      </x:c>
      <x:c r="F22" s="4"/>
      <x:c r="G22" s="4"/>
      <x:c r="H22" s="4"/>
    </x:row>
    <x:row r="23">
      <x:c r="A23" s="7" t="str">
        <x:v>Astranis Dinner</x:v>
      </x:c>
      <x:c r="B23" s="21" t="n">
        <x:f>COUNTIF('Orders'!$F$2:$F$6,A23)</x:f>
        <x:v>1</x:v>
      </x:c>
      <x:c r="C23" s="21" t="n">
        <x:f>SUMIF('Orders'!$F$2:$F$6,A23,'Orders'!$I$2:$I$6)</x:f>
        <x:v>45</x:v>
      </x:c>
      <x:c r="D23" s="23" t="n">
        <x:f>SUMIF('Orders'!$F$2:$F$6,A23,'Orders'!$M$2:$M$6)</x:f>
        <x:v>413.5</x:v>
      </x:c>
      <x:c r="E23" s="23" t="n">
        <x:f>SUMIF('Orders'!$F$2:$F$6,A23,'Orders'!$O$2:$O$6)</x:f>
        <x:v>448.99</x:v>
      </x:c>
      <x:c r="F23" s="4"/>
      <x:c r="G23" s="4"/>
      <x:c r="H23" s="4"/>
    </x:row>
    <x:row r="24">
      <x:c r="A24" s="7" t="str">
        <x:v>Myriad Genetics NEXUS</x:v>
      </x:c>
      <x:c r="B24" s="21" t="n">
        <x:f>COUNTIF('Orders'!$F$2:$F$6,A24)</x:f>
        <x:v>4</x:v>
      </x:c>
      <x:c r="C24" s="21" t="n">
        <x:f>SUMIF('Orders'!$F$2:$F$6,A24,'Orders'!$I$2:$I$6)</x:f>
        <x:v>12</x:v>
      </x:c>
      <x:c r="D24" s="23" t="n">
        <x:f>SUMIF('Orders'!$F$2:$F$6,A24,'Orders'!$M$2:$M$6)</x:f>
        <x:v>107.6</x:v>
      </x:c>
      <x:c r="E24" s="23" t="n">
        <x:f>SUMIF('Orders'!$F$2:$F$6,A24,'Orders'!$O$2:$O$6)</x:f>
        <x:v>116.84</x:v>
      </x:c>
      <x:c r="F24" s="4"/>
      <x:c r="G24" s="4"/>
      <x:c r="H24" s="4"/>
    </x:row>
    <x:row r="25">
      <x:c r="A25" s="4"/>
      <x:c r="B25" s="4"/>
      <x:c r="C25" s="4"/>
      <x:c r="D25" s="4"/>
      <x:c r="E25" s="4"/>
      <x:c r="F25" s="4"/>
      <x:c r="G25" s="4"/>
      <x:c r="H25" s="4"/>
    </x:row>
    <x:row r="26">
      <x:c r="A26" s="4"/>
      <x:c r="B26" s="4"/>
      <x:c r="C26" s="4"/>
      <x:c r="D26" s="4"/>
      <x:c r="E26" s="4"/>
      <x:c r="F26" s="4"/>
      <x:c r="G26" s="4"/>
      <x:c r="H26" s="4"/>
    </x:row>
    <x:row r="27">
      <x:c r="A27" s="4"/>
      <x:c r="B27" s="4"/>
      <x:c r="C27" s="4"/>
      <x:c r="D27" s="4"/>
      <x:c r="E27" s="4"/>
      <x:c r="F27" s="4"/>
      <x:c r="G27" s="4"/>
      <x:c r="H27" s="4"/>
    </x:row>
    <x:row r="28">
      <x:c r="A28" s="4"/>
      <x:c r="B28" s="4"/>
      <x:c r="C28" s="4"/>
      <x:c r="D28" s="4"/>
      <x:c r="E28" s="4"/>
      <x:c r="F28" s="4"/>
      <x:c r="G28" s="4"/>
      <x:c r="H28" s="4"/>
    </x:row>
    <x:row r="29">
      <x:c r="A29" s="4"/>
      <x:c r="B29" s="4"/>
      <x:c r="C29" s="4"/>
      <x:c r="D29" s="4"/>
      <x:c r="E29" s="4"/>
      <x:c r="F29" s="4"/>
      <x:c r="G29" s="4"/>
      <x:c r="H29" s="4"/>
    </x:row>
    <x:row r="30">
      <x:c r="A30" s="4"/>
      <x:c r="B30" s="4"/>
      <x:c r="C30" s="4"/>
      <x:c r="D30" s="4"/>
      <x:c r="E30" s="4"/>
      <x:c r="F30" s="4"/>
      <x:c r="G30" s="4"/>
      <x:c r="H30" s="4"/>
    </x:row>
  </x:sheetData>
  <x:mergeCells>
    <x:mergeCell ref="A1:H2"/>
    <x:mergeCell ref="A9:B9"/>
    <x:mergeCell ref="A10:B11"/>
    <x:mergeCell ref="C9:D9"/>
    <x:mergeCell ref="C10:D11"/>
    <x:mergeCell ref="E9:F9"/>
    <x:mergeCell ref="E10:F11"/>
    <x:mergeCell ref="G9:H9"/>
    <x:mergeCell ref="G10:H11"/>
    <x:mergeCell ref="A13:B13"/>
    <x:mergeCell ref="A14:B15"/>
    <x:mergeCell ref="C13:D13"/>
    <x:mergeCell ref="C14:D15"/>
    <x:mergeCell ref="E13:F13"/>
    <x:mergeCell ref="E14:F15"/>
    <x:mergeCell ref="G13:H13"/>
    <x:mergeCell ref="G14:H15"/>
    <x:mergeCell ref="A17:H18"/>
    <x:mergeCell ref="A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3" hidden="0" customWidth="1"/>
    <x:col min="5" max="5" width="22" hidden="0" customWidth="1"/>
    <x:col min="6" max="6" width="26" hidden="0" customWidth="1"/>
    <x:col min="7" max="7" width="25" hidden="0" customWidth="1"/>
    <x:col min="8" max="8" width="44" hidden="0" customWidth="1"/>
    <x:col min="9" max="9" width="10" hidden="0" customWidth="1"/>
    <x:col min="10" max="10" width="12" hidden="0" customWidth="1"/>
    <x:col min="11" max="11" width="14" hidden="0" customWidth="1"/>
    <x:col min="12" max="12" width="15" hidden="0" customWidth="1"/>
    <x:col min="13" max="13" width="14" hidden="0" customWidth="1"/>
    <x:col min="14" max="14" width="12" hidden="0" customWidth="1"/>
    <x:col min="15" max="15" width="16" hidden="0" customWidth="1"/>
    <x:col min="16" max="16" width="14" hidden="0" customWidth="1"/>
    <x:col min="17" max="17" width="9" hidden="0" customWidth="1"/>
    <x:col min="18" max="18" width="14" hidden="0" customWidth="1"/>
    <x:col min="19" max="19" width="56" hidden="0" customWidth="1"/>
  </x:cols>
  <x:sheetData>
    <x:row r="1" ht="34" customHeight="1">
      <x:c r="A1" s="17" t="str">
        <x:v>Delivery Date</x:v>
      </x:c>
      <x:c r="B1" s="18" t="str">
        <x:v>Window Start</x:v>
      </x:c>
      <x:c r="C1" s="18" t="str">
        <x:v>Window End</x:v>
      </x:c>
      <x:c r="D1" s="18" t="str">
        <x:v>Order ID</x:v>
      </x:c>
      <x:c r="E1" s="18" t="str">
        <x:v>Order Code</x:v>
      </x:c>
      <x:c r="F1" s="18" t="str">
        <x:v>Customer</x:v>
      </x:c>
      <x:c r="G1" s="18" t="str">
        <x:v>Restaurant</x:v>
      </x:c>
      <x:c r="H1" s="18" t="str">
        <x:v>Delivery Address</x:v>
      </x:c>
      <x:c r="I1" s="18" t="str">
        <x:v>Meals</x:v>
      </x:c>
      <x:c r="J1" s="18" t="str">
        <x:v>Dish Lines</x:v>
      </x:c>
      <x:c r="K1" s="18" t="str">
        <x:v>Food Cost $</x:v>
      </x:c>
      <x:c r="L1" s="18" t="str">
        <x:v>Utensil Fee $</x:v>
      </x:c>
      <x:c r="M1" s="18" t="str">
        <x:v>Subtotal $</x:v>
      </x:c>
      <x:c r="N1" s="18" t="str">
        <x:v>Tax $</x:v>
      </x:c>
      <x:c r="O1" s="18" t="str">
        <x:v>Order Total $</x:v>
      </x:c>
      <x:c r="P1" s="18" t="str">
        <x:v>Invoice ID</x:v>
      </x:c>
      <x:c r="Q1" s="18" t="str">
        <x:v>VIP</x:v>
      </x:c>
      <x:c r="R1" s="18" t="str">
        <x:v>Organization</x:v>
      </x:c>
      <x:c r="S1" s="19" t="str">
        <x:v>Delivery Instructions</x:v>
      </x:c>
    </x:row>
    <x:row r="2">
      <x:c r="A2" s="20" t="n">
        <x:v>46239.5</x:v>
      </x:c>
      <x:c r="B2" s="7" t="str">
        <x:v>17:40 PT</x:v>
      </x:c>
      <x:c r="C2" s="7" t="str">
        <x:v>17:50 PT</x:v>
      </x:c>
      <x:c r="D2" s="7" t="str">
        <x:v>240577</x:v>
      </x:c>
      <x:c r="E2" s="7" t="str">
        <x:v>JQH-D260805-TSA8</x:v>
      </x:c>
      <x:c r="F2" s="7" t="str">
        <x:v>Myriad Genetics NEXUS</x:v>
      </x:c>
      <x:c r="G2" s="7" t="str">
        <x:v>Holy Shred (Dinner Menu)</x:v>
      </x:c>
      <x:c r="H2" s="25" t="str">
        <x:v>233 E Grand Ave., South San Francisco, CA 94080, US</x:v>
      </x:c>
      <x:c r="I2" s="21" t="n">
        <x:v>4</x:v>
      </x:c>
      <x:c r="J2" s="21" t="n">
        <x:v>3</x:v>
      </x:c>
      <x:c r="K2" s="23" t="n">
        <x:f>M2-L2</x:f>
        <x:v>36.75</x:v>
      </x:c>
      <x:c r="L2" s="23" t="n">
        <x:v>0.2</x:v>
      </x:c>
      <x:c r="M2" s="23" t="n">
        <x:v>36.95</x:v>
      </x:c>
      <x:c r="N2" s="23" t="n">
        <x:v>3.17</x:v>
      </x:c>
      <x:c r="O2" s="23" t="n">
        <x:f>M2+N2</x:f>
        <x:v>40.120000000000005</x:v>
      </x:c>
      <x:c r="P2" s="7" t="n">
        <x:v>213509</x:v>
      </x:c>
      <x:c r="Q2" s="7" t="str">
        <x:v>Yes</x:v>
      </x:c>
      <x:c r="R2" s="7" t="str">
        <x:v>JQH</x:v>
      </x:c>
      <x:c r="S2" s="25" t="str">
        <x:v>Do NOT start delivery before 11:30 AM. Put meals in racks. 
When arriving, let the security guard know you are delivering to Myriad from Club Feast. The delivery is on the 5th floor.</x:v>
      </x:c>
    </x:row>
    <x:row r="3">
      <x:c r="A3" s="20" t="n">
        <x:v>46243.5</x:v>
      </x:c>
      <x:c r="B3" s="7" t="str">
        <x:v>17:40 PT</x:v>
      </x:c>
      <x:c r="C3" s="7" t="str">
        <x:v>18:00 PT</x:v>
      </x:c>
      <x:c r="D3" s="7" t="str">
        <x:v>240841</x:v>
      </x:c>
      <x:c r="E3" s="7" t="str">
        <x:v>JQH-D260809-TSA8</x:v>
      </x:c>
      <x:c r="F3" s="7" t="str">
        <x:v>Myriad Genetics NEXUS</x:v>
      </x:c>
      <x:c r="G3" s="7" t="str">
        <x:v>Holy Shred (Dinner Menu)</x:v>
      </x:c>
      <x:c r="H3" s="25" t="str">
        <x:v>233 E Grand Ave., South San Francisco, CA 94080, US</x:v>
      </x:c>
      <x:c r="I3" s="21" t="n">
        <x:v>2</x:v>
      </x:c>
      <x:c r="J3" s="21" t="n">
        <x:v>2</x:v>
      </x:c>
      <x:c r="K3" s="23" t="n">
        <x:f>M3-L3</x:f>
        <x:v>16.75</x:v>
      </x:c>
      <x:c r="L3" s="23" t="n">
        <x:v>0.1</x:v>
      </x:c>
      <x:c r="M3" s="23" t="n">
        <x:v>16.85</x:v>
      </x:c>
      <x:c r="N3" s="23" t="n">
        <x:v>1.45</x:v>
      </x:c>
      <x:c r="O3" s="23" t="n">
        <x:f>M3+N3</x:f>
        <x:v>18.3</x:v>
      </x:c>
      <x:c r="P3" s="7" t="n">
        <x:v>213509</x:v>
      </x:c>
      <x:c r="Q3" s="7" t="str">
        <x:v>Yes</x:v>
      </x:c>
      <x:c r="R3" s="7" t="str">
        <x:v>JQH</x:v>
      </x:c>
      <x:c r="S3" s="25" t="str">
        <x:v>Do NOT start delivery before 11:30 AM. Put meals in racks. 
When arriving, let the security guard know you are delivering to Myriad from Club Feast. The delivery is on the 5th floor.</x:v>
      </x:c>
    </x:row>
    <x:row r="4">
      <x:c r="A4" s="20" t="n">
        <x:v>46246.5</x:v>
      </x:c>
      <x:c r="B4" s="7" t="str">
        <x:v>17:40 PT</x:v>
      </x:c>
      <x:c r="C4" s="7" t="str">
        <x:v>17:50 PT</x:v>
      </x:c>
      <x:c r="D4" s="7" t="str">
        <x:v>243160</x:v>
      </x:c>
      <x:c r="E4" s="7" t="str">
        <x:v>JQH-D260812-TSA8</x:v>
      </x:c>
      <x:c r="F4" s="7" t="str">
        <x:v>Myriad Genetics NEXUS</x:v>
      </x:c>
      <x:c r="G4" s="7" t="str">
        <x:v>Holy Shred (Dinner Menu)</x:v>
      </x:c>
      <x:c r="H4" s="25" t="str">
        <x:v>233 E Grand Ave., South San Francisco, CA 94080, US</x:v>
      </x:c>
      <x:c r="I4" s="21" t="n">
        <x:v>3</x:v>
      </x:c>
      <x:c r="J4" s="21" t="n">
        <x:v>3</x:v>
      </x:c>
      <x:c r="K4" s="23" t="n">
        <x:f>M4-L4</x:f>
        <x:v>26.25</x:v>
      </x:c>
      <x:c r="L4" s="23" t="n">
        <x:v>0.15</x:v>
      </x:c>
      <x:c r="M4" s="23" t="n">
        <x:v>26.4</x:v>
      </x:c>
      <x:c r="N4" s="23" t="n">
        <x:v>2.27</x:v>
      </x:c>
      <x:c r="O4" s="23" t="n">
        <x:f>M4+N4</x:f>
        <x:v>28.669999999999998</x:v>
      </x:c>
      <x:c r="P4" s="7" t="n">
        <x:v>214673</x:v>
      </x:c>
      <x:c r="Q4" s="7" t="str">
        <x:v>Yes</x:v>
      </x:c>
      <x:c r="R4" s="7" t="str">
        <x:v>JQH</x:v>
      </x:c>
      <x:c r="S4" s="25" t="str">
        <x:v>Do NOT start delivery before 11:30 AM. Put meals in racks. 
When arriving, let the security guard know you are delivering to Myriad from Club Feast. The delivery is on the 5th floor.</x:v>
      </x:c>
    </x:row>
    <x:row r="5">
      <x:c r="A5" s="20" t="n">
        <x:v>46255.5</x:v>
      </x:c>
      <x:c r="B5" s="7" t="str">
        <x:v>18:20 PT</x:v>
      </x:c>
      <x:c r="C5" s="7" t="str">
        <x:v>18:30 PT</x:v>
      </x:c>
      <x:c r="D5" s="7" t="str">
        <x:v>258495</x:v>
      </x:c>
      <x:c r="E5" s="7" t="str">
        <x:v>TFP-D260821-Y1QJ</x:v>
      </x:c>
      <x:c r="F5" s="7" t="str">
        <x:v>Astranis Dinner</x:v>
      </x:c>
      <x:c r="G5" s="7" t="str">
        <x:v>Holy Shred (Dinner Menu)</x:v>
      </x:c>
      <x:c r="H5" s="25" t="str">
        <x:v>525 20th St, San Francisco, CA 94107, SF, US</x:v>
      </x:c>
      <x:c r="I5" s="21" t="n">
        <x:v>45</x:v>
      </x:c>
      <x:c r="J5" s="21" t="n">
        <x:v>4</x:v>
      </x:c>
      <x:c r="K5" s="23" t="n">
        <x:f>M5-L5</x:f>
        <x:v>411.25</x:v>
      </x:c>
      <x:c r="L5" s="23" t="n">
        <x:v>2.25</x:v>
      </x:c>
      <x:c r="M5" s="23" t="n">
        <x:v>413.5</x:v>
      </x:c>
      <x:c r="N5" s="23" t="n">
        <x:v>35.49</x:v>
      </x:c>
      <x:c r="O5" s="23" t="n">
        <x:f>M5+N5</x:f>
        <x:v>448.99</x:v>
      </x:c>
      <x:c r="P5" s="7"/>
      <x:c r="Q5" s="7" t="str">
        <x:v>Yes</x:v>
      </x:c>
      <x:c r="R5" s="7" t="str">
        <x:v>TFP</x:v>
      </x:c>
      <x:c r="S5" s="25" t="str">
        <x:v>Go into the building, turn right, enter the main doors of Astranis, turn left and enter the main hall. In the middle of the hall you will see the kitchen area, bring the meals to the kitchen area and put them out on the table.</x:v>
      </x:c>
    </x:row>
    <x:row r="6">
      <x:c r="A6" s="20" t="n">
        <x:v>46259.5</x:v>
      </x:c>
      <x:c r="B6" s="7" t="str">
        <x:v>17:40 PT</x:v>
      </x:c>
      <x:c r="C6" s="7" t="str">
        <x:v>17:50 PT</x:v>
      </x:c>
      <x:c r="D6" s="7" t="str">
        <x:v>257326</x:v>
      </x:c>
      <x:c r="E6" s="7" t="str">
        <x:v>JQH-D260825-TSA8</x:v>
      </x:c>
      <x:c r="F6" s="7" t="str">
        <x:v>Myriad Genetics NEXUS</x:v>
      </x:c>
      <x:c r="G6" s="7" t="str">
        <x:v>Holy Shred (Dinner Menu)</x:v>
      </x:c>
      <x:c r="H6" s="25" t="str">
        <x:v>233 E Grand Ave., South San Francisco, CA 94080, US</x:v>
      </x:c>
      <x:c r="I6" s="21" t="n">
        <x:v>3</x:v>
      </x:c>
      <x:c r="J6" s="21" t="n">
        <x:v>3</x:v>
      </x:c>
      <x:c r="K6" s="23" t="n">
        <x:f>M6-L6</x:f>
        <x:v>27.25</x:v>
      </x:c>
      <x:c r="L6" s="23" t="n">
        <x:v>0.15</x:v>
      </x:c>
      <x:c r="M6" s="23" t="n">
        <x:v>27.4</x:v>
      </x:c>
      <x:c r="N6" s="23" t="n">
        <x:v>2.35</x:v>
      </x:c>
      <x:c r="O6" s="23" t="n">
        <x:f>M6+N6</x:f>
        <x:v>29.75</x:v>
      </x:c>
      <x:c r="P6" s="7"/>
      <x:c r="Q6" s="7" t="str">
        <x:v>Yes</x:v>
      </x:c>
      <x:c r="R6" s="7" t="str">
        <x:v>JQH</x:v>
      </x:c>
      <x:c r="S6" s="25" t="str">
        <x:v>Do NOT start delivery before 11:30 AM. Put meals in racks. 
When arriving, let the security guard know you are delivering to Myriad from Club Feast. The delivery is on the 5th floor.</x:v>
      </x:c>
    </x:row>
    <x:row r="7">
      <x:c r="A7" s="8" t="str">
        <x:v>TOTAL</x:v>
      </x:c>
      <x:c r="B7" s="8" t="str"/>
      <x:c r="C7" s="8" t="str"/>
      <x:c r="D7" s="8" t="str"/>
      <x:c r="E7" s="8" t="str"/>
      <x:c r="F7" s="8" t="str"/>
      <x:c r="G7" s="8" t="str"/>
      <x:c r="H7" s="8" t="str"/>
      <x:c r="I7" s="22" t="n">
        <x:f>SUM(I2:I6)</x:f>
        <x:v>57</x:v>
      </x:c>
      <x:c r="J7" s="22" t="n">
        <x:f>SUM(J2:J6)</x:f>
        <x:v>15</x:v>
      </x:c>
      <x:c r="K7" s="24" t="n">
        <x:f>SUM(K2:K6)</x:f>
        <x:v>518.25</x:v>
      </x:c>
      <x:c r="L7" s="24" t="n">
        <x:f>SUM(L2:L6)</x:f>
        <x:v>2.85</x:v>
      </x:c>
      <x:c r="M7" s="24" t="n">
        <x:f>SUM(M2:M6)</x:f>
        <x:v>521.1</x:v>
      </x:c>
      <x:c r="N7" s="24" t="n">
        <x:f>SUM(N2:N6)</x:f>
        <x:v>44.730000000000004</x:v>
      </x:c>
      <x:c r="O7" s="24" t="n">
        <x:f>SUM(O2:O6)</x:f>
        <x:v>565.83</x:v>
      </x:c>
      <x:c r="P7" s="8" t="str"/>
      <x:c r="Q7" s="8" t="str"/>
      <x:c r="R7" s="8" t="str"/>
      <x:c r="S7" s="8" t="str"/>
    </x:row>
  </x:sheetData>
  <x:pageMargins left="0.7" right="0.7" top="0.75" bottom="0.75" header="0.3" footer="0.3"/>
  <x:tableParts count="1">
    <x:tablePart xmlns:r="http://schemas.openxmlformats.org/officeDocument/2006/relationships" r:id="Rcdd974fea80041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6" hidden="0" customWidth="1"/>
    <x:col min="4" max="4" width="42" hidden="0" customWidth="1"/>
    <x:col min="5" max="5" width="12" hidden="0" customWidth="1"/>
    <x:col min="6" max="6" width="11" hidden="0" customWidth="1"/>
    <x:col min="7" max="7" width="13" hidden="0" customWidth="1"/>
    <x:col min="8" max="8" width="14" hidden="0" customWidth="1"/>
    <x:col min="9" max="9" width="15" hidden="0" customWidth="1"/>
    <x:col min="10" max="10" width="46" hidden="0" customWidth="1"/>
    <x:col min="11" max="11" width="34" hidden="0" customWidth="1"/>
    <x:col min="12" max="12" width="32" hidden="0" customWidth="1"/>
  </x:cols>
  <x:sheetData>
    <x:row r="1" ht="34" customHeight="1">
      <x:c r="A1" s="17" t="str">
        <x:v>Delivery Date</x:v>
      </x:c>
      <x:c r="B1" s="18" t="str">
        <x:v>Order Code</x:v>
      </x:c>
      <x:c r="C1" s="18" t="str">
        <x:v>Customer</x:v>
      </x:c>
      <x:c r="D1" s="18" t="str">
        <x:v>Dish</x:v>
      </x:c>
      <x:c r="E1" s="18" t="str">
        <x:v>Type</x:v>
      </x:c>
      <x:c r="F1" s="18" t="str">
        <x:v>Quantity</x:v>
      </x:c>
      <x:c r="G1" s="18" t="str">
        <x:v>Serving Size</x:v>
      </x:c>
      <x:c r="H1" s="18" t="str">
        <x:v>Unit Cost $</x:v>
      </x:c>
      <x:c r="I1" s="18" t="str">
        <x:v>Line Total $</x:v>
      </x:c>
      <x:c r="J1" s="18" t="str">
        <x:v>Dietary Tags</x:v>
      </x:c>
      <x:c r="K1" s="18" t="str">
        <x:v>Customer Note</x:v>
      </x:c>
      <x:c r="L1" s="19" t="str">
        <x:v>Options</x:v>
      </x:c>
    </x:row>
    <x:row r="2">
      <x:c r="A2" s="20" t="n">
        <x:v>46239.5</x:v>
      </x:c>
      <x:c r="B2" s="7" t="str">
        <x:v>JQH-D260805-TSA8</x:v>
      </x:c>
      <x:c r="C2" s="7" t="str">
        <x:v>Myriad Genetics NEXUS</x:v>
      </x:c>
      <x:c r="D2" s="25" t="str">
        <x:v>Hatyai Crispy Chicken Noodles</x:v>
      </x:c>
      <x:c r="E2" s="25" t="str">
        <x:v>main</x:v>
      </x:c>
      <x:c r="F2" s="26" t="n">
        <x:v>2</x:v>
      </x:c>
      <x:c r="G2" s="26" t="n">
        <x:v>2</x:v>
      </x:c>
      <x:c r="H2" s="27" t="n">
        <x:v>9.5</x:v>
      </x:c>
      <x:c r="I2" s="27" t="n">
        <x:f>F2*H2</x:f>
        <x:v>19</x:v>
      </x:c>
      <x:c r="J2" s="25" t="str">
        <x:v>Sesame Free, Nut Free, Egg Free, Dairy Free</x:v>
      </x:c>
      <x:c r="K2" s="25" t="str"/>
      <x:c r="L2" s="25" t="str"/>
    </x:row>
    <x:row r="3">
      <x:c r="A3" s="20" t="n">
        <x:v>46239.5</x:v>
      </x:c>
      <x:c r="B3" s="7" t="str">
        <x:v>JQH-D260805-TSA8</x:v>
      </x:c>
      <x:c r="C3" s="7" t="str">
        <x:v>Myriad Genetics NEXUS</x:v>
      </x:c>
      <x:c r="D3" s="25" t="str">
        <x:v>Charcoal-Grilled BBQ Chicken Rice</x:v>
      </x:c>
      <x:c r="E3" s="25" t="str">
        <x:v>main</x:v>
      </x:c>
      <x:c r="F3" s="26" t="n">
        <x:v>1</x:v>
      </x:c>
      <x:c r="G3" s="26" t="n">
        <x:v>1</x:v>
      </x:c>
      <x:c r="H3" s="27" t="n">
        <x:v>9.5</x:v>
      </x:c>
      <x:c r="I3" s="27" t="n">
        <x:f>F3*H3</x:f>
        <x:v>9.5</x:v>
      </x:c>
      <x:c r="J3" s="25" t="str">
        <x:v>Sesame Free, Nut Free</x:v>
      </x:c>
      <x:c r="K3" s="25" t="str"/>
      <x:c r="L3" s="25" t="str"/>
    </x:row>
    <x:row r="4">
      <x:c r="A4" s="20" t="n">
        <x:v>46239.5</x:v>
      </x:c>
      <x:c r="B4" s="7" t="str">
        <x:v>JQH-D260805-TSA8</x:v>
      </x:c>
      <x:c r="C4" s="7" t="str">
        <x:v>Myriad Genetics NEXUS</x:v>
      </x:c>
      <x:c r="D4" s="25" t="str">
        <x:v>Shredded Chicken Noodles</x:v>
      </x:c>
      <x:c r="E4" s="25" t="str">
        <x:v>main</x:v>
      </x:c>
      <x:c r="F4" s="26" t="n">
        <x:v>1</x:v>
      </x:c>
      <x:c r="G4" s="26" t="n">
        <x:v>1</x:v>
      </x:c>
      <x:c r="H4" s="27" t="n">
        <x:v>8.25</x:v>
      </x:c>
      <x:c r="I4" s="27" t="n">
        <x:f>F4*H4</x:f>
        <x:v>8.25</x:v>
      </x:c>
      <x:c r="J4" s="25" t="str">
        <x:v>Contains Seafood, Gluten Free, Nut Free, Sesame Free, Egg Free, Dairy Free</x:v>
      </x:c>
      <x:c r="K4" s="25" t="str"/>
      <x:c r="L4" s="25" t="str"/>
    </x:row>
    <x:row r="5">
      <x:c r="A5" s="20" t="n">
        <x:v>46243.5</x:v>
      </x:c>
      <x:c r="B5" s="7" t="str">
        <x:v>JQH-D260809-TSA8</x:v>
      </x:c>
      <x:c r="C5" s="7" t="str">
        <x:v>Myriad Genetics NEXUS</x:v>
      </x:c>
      <x:c r="D5" s="25" t="str">
        <x:v>Bangkok Pepper Tofu with Garlic Rice</x:v>
      </x:c>
      <x:c r="E5" s="25" t="str">
        <x:v>main</x:v>
      </x:c>
      <x:c r="F5" s="26" t="n">
        <x:v>1</x:v>
      </x:c>
      <x:c r="G5" s="26" t="n">
        <x:v>1</x:v>
      </x:c>
      <x:c r="H5" s="27" t="n">
        <x:v>7.25</x:v>
      </x:c>
      <x:c r="I5" s="27" t="n">
        <x:f>F5*H5</x:f>
        <x:v>7.25</x:v>
      </x:c>
      <x:c r="J5" s="25" t="str">
        <x:v>Sesame Free, Nut Free, Gluten Free, Dairy Free, Egg Free, Vegetarian, Vegan</x:v>
      </x:c>
      <x:c r="K5" s="25" t="str"/>
      <x:c r="L5" s="25" t="str"/>
    </x:row>
    <x:row r="6">
      <x:c r="A6" s="20" t="n">
        <x:v>46243.5</x:v>
      </x:c>
      <x:c r="B6" s="7" t="str">
        <x:v>JQH-D260809-TSA8</x:v>
      </x:c>
      <x:c r="C6" s="7" t="str">
        <x:v>Myriad Genetics NEXUS</x:v>
      </x:c>
      <x:c r="D6" s="25" t="str">
        <x:v>Charcoal-Grilled BBQ Chicken Rice</x:v>
      </x:c>
      <x:c r="E6" s="25" t="str">
        <x:v>main</x:v>
      </x:c>
      <x:c r="F6" s="26" t="n">
        <x:v>1</x:v>
      </x:c>
      <x:c r="G6" s="26" t="n">
        <x:v>1</x:v>
      </x:c>
      <x:c r="H6" s="27" t="n">
        <x:v>9.5</x:v>
      </x:c>
      <x:c r="I6" s="27" t="n">
        <x:f>F6*H6</x:f>
        <x:v>9.5</x:v>
      </x:c>
      <x:c r="J6" s="25" t="str">
        <x:v>Sesame Free, Nut Free</x:v>
      </x:c>
      <x:c r="K6" s="25" t="str"/>
      <x:c r="L6" s="25" t="str"/>
    </x:row>
    <x:row r="7">
      <x:c r="A7" s="20" t="n">
        <x:v>46246.5</x:v>
      </x:c>
      <x:c r="B7" s="7" t="str">
        <x:v>JQH-D260812-TSA8</x:v>
      </x:c>
      <x:c r="C7" s="7" t="str">
        <x:v>Myriad Genetics NEXUS</x:v>
      </x:c>
      <x:c r="D7" s="25" t="str">
        <x:v>Green Curry Charcoal-Grilled BBQ Chicken Rice</x:v>
      </x:c>
      <x:c r="E7" s="25" t="str">
        <x:v>main</x:v>
      </x:c>
      <x:c r="F7" s="26" t="n">
        <x:v>1</x:v>
      </x:c>
      <x:c r="G7" s="26" t="n">
        <x:v>1</x:v>
      </x:c>
      <x:c r="H7" s="27" t="n">
        <x:v>9.75</x:v>
      </x:c>
      <x:c r="I7" s="27" t="n">
        <x:f>F7*H7</x:f>
        <x:v>9.75</x:v>
      </x:c>
      <x:c r="J7" s="25" t="str">
        <x:v>Contains Seafood, Sesame Free, Nut Free, Egg Free</x:v>
      </x:c>
      <x:c r="K7" s="25" t="str"/>
      <x:c r="L7" s="25" t="str"/>
    </x:row>
    <x:row r="8">
      <x:c r="A8" s="20" t="n">
        <x:v>46246.5</x:v>
      </x:c>
      <x:c r="B8" s="7" t="str">
        <x:v>JQH-D260812-TSA8</x:v>
      </x:c>
      <x:c r="C8" s="7" t="str">
        <x:v>Myriad Genetics NEXUS</x:v>
      </x:c>
      <x:c r="D8" s="25" t="str">
        <x:v>Bangkok Pepper Tofu Noodles</x:v>
      </x:c>
      <x:c r="E8" s="25" t="str">
        <x:v>main</x:v>
      </x:c>
      <x:c r="F8" s="26" t="n">
        <x:v>1</x:v>
      </x:c>
      <x:c r="G8" s="26" t="n">
        <x:v>1</x:v>
      </x:c>
      <x:c r="H8" s="27" t="n">
        <x:v>8.25</x:v>
      </x:c>
      <x:c r="I8" s="27" t="n">
        <x:f>F8*H8</x:f>
        <x:v>8.25</x:v>
      </x:c>
      <x:c r="J8" s="25" t="str">
        <x:v>Egg Free, Dairy Free, Sesame Free, Nut Free, Gluten Free</x:v>
      </x:c>
      <x:c r="K8" s="25" t="str"/>
      <x:c r="L8" s="25" t="str"/>
    </x:row>
    <x:row r="9">
      <x:c r="A9" s="20" t="n">
        <x:v>46246.5</x:v>
      </x:c>
      <x:c r="B9" s="7" t="str">
        <x:v>JQH-D260812-TSA8</x:v>
      </x:c>
      <x:c r="C9" s="7" t="str">
        <x:v>Myriad Genetics NEXUS</x:v>
      </x:c>
      <x:c r="D9" s="25" t="str">
        <x:v>Shredded Chicken Noodles</x:v>
      </x:c>
      <x:c r="E9" s="25" t="str">
        <x:v>main</x:v>
      </x:c>
      <x:c r="F9" s="26" t="n">
        <x:v>1</x:v>
      </x:c>
      <x:c r="G9" s="26" t="n">
        <x:v>1</x:v>
      </x:c>
      <x:c r="H9" s="27" t="n">
        <x:v>8.25</x:v>
      </x:c>
      <x:c r="I9" s="27" t="n">
        <x:f>F9*H9</x:f>
        <x:v>8.25</x:v>
      </x:c>
      <x:c r="J9" s="25" t="str">
        <x:v>Contains Seafood, Gluten Free, Nut Free, Sesame Free, Egg Free, Dairy Free</x:v>
      </x:c>
      <x:c r="K9" s="25" t="str"/>
      <x:c r="L9" s="25" t="str"/>
    </x:row>
    <x:row r="10">
      <x:c r="A10" s="20" t="n">
        <x:v>46255.5</x:v>
      </x:c>
      <x:c r="B10" s="7" t="str">
        <x:v>TFP-D260821-Y1QJ</x:v>
      </x:c>
      <x:c r="C10" s="7" t="str">
        <x:v>Astranis Dinner</x:v>
      </x:c>
      <x:c r="D10" s="25" t="str">
        <x:v>Green Curry Hatyai Crispy Chicken Rice</x:v>
      </x:c>
      <x:c r="E10" s="25" t="str">
        <x:v>main</x:v>
      </x:c>
      <x:c r="F10" s="26" t="n">
        <x:v>15</x:v>
      </x:c>
      <x:c r="G10" s="26" t="n">
        <x:v>15</x:v>
      </x:c>
      <x:c r="H10" s="27" t="n">
        <x:v>9.75</x:v>
      </x:c>
      <x:c r="I10" s="27" t="n">
        <x:f>F10*H10</x:f>
        <x:v>146.25</x:v>
      </x:c>
      <x:c r="J10" s="25" t="str">
        <x:v>Nut Free, Sesame Free, Egg Free, Dairy Free</x:v>
      </x:c>
      <x:c r="K10" s="25" t="str"/>
      <x:c r="L10" s="25" t="str"/>
    </x:row>
    <x:row r="11">
      <x:c r="A11" s="20" t="n">
        <x:v>46255.5</x:v>
      </x:c>
      <x:c r="B11" s="7" t="str">
        <x:v>TFP-D260821-Y1QJ</x:v>
      </x:c>
      <x:c r="C11" s="7" t="str">
        <x:v>Astranis Dinner</x:v>
      </x:c>
      <x:c r="D11" s="25" t="str">
        <x:v>Green Curry Charcoal-Grilled BBQ Chicken Rice</x:v>
      </x:c>
      <x:c r="E11" s="25" t="str">
        <x:v>main</x:v>
      </x:c>
      <x:c r="F11" s="26" t="n">
        <x:v>10</x:v>
      </x:c>
      <x:c r="G11" s="26" t="n">
        <x:v>10</x:v>
      </x:c>
      <x:c r="H11" s="27" t="n">
        <x:v>9.75</x:v>
      </x:c>
      <x:c r="I11" s="27" t="n">
        <x:f>F11*H11</x:f>
        <x:v>97.5</x:v>
      </x:c>
      <x:c r="J11" s="25" t="str">
        <x:v>Contains Seafood, Sesame Free, Nut Free, Egg Free</x:v>
      </x:c>
      <x:c r="K11" s="25" t="str"/>
      <x:c r="L11" s="25" t="str"/>
    </x:row>
    <x:row r="12">
      <x:c r="A12" s="20" t="n">
        <x:v>46255.5</x:v>
      </x:c>
      <x:c r="B12" s="7" t="str">
        <x:v>TFP-D260821-Y1QJ</x:v>
      </x:c>
      <x:c r="C12" s="7" t="str">
        <x:v>Astranis Dinner</x:v>
      </x:c>
      <x:c r="D12" s="25" t="str">
        <x:v>Charcoal-Grilled BBQ Chicken Rice</x:v>
      </x:c>
      <x:c r="E12" s="25" t="str">
        <x:v>main</x:v>
      </x:c>
      <x:c r="F12" s="26" t="n">
        <x:v>10</x:v>
      </x:c>
      <x:c r="G12" s="26" t="n">
        <x:v>10</x:v>
      </x:c>
      <x:c r="H12" s="27" t="n">
        <x:v>9.5</x:v>
      </x:c>
      <x:c r="I12" s="27" t="n">
        <x:f>F12*H12</x:f>
        <x:v>95</x:v>
      </x:c>
      <x:c r="J12" s="25" t="str">
        <x:v>Sesame Free, Nut Free</x:v>
      </x:c>
      <x:c r="K12" s="25" t="str"/>
      <x:c r="L12" s="25" t="str"/>
    </x:row>
    <x:row r="13">
      <x:c r="A13" s="20" t="n">
        <x:v>46255.5</x:v>
      </x:c>
      <x:c r="B13" s="7" t="str">
        <x:v>TFP-D260821-Y1QJ</x:v>
      </x:c>
      <x:c r="C13" s="7" t="str">
        <x:v>Astranis Dinner</x:v>
      </x:c>
      <x:c r="D13" s="25" t="str">
        <x:v>Bangkok Pepper Tofu with Garlic Rice</x:v>
      </x:c>
      <x:c r="E13" s="25" t="str">
        <x:v>main</x:v>
      </x:c>
      <x:c r="F13" s="26" t="n">
        <x:v>10</x:v>
      </x:c>
      <x:c r="G13" s="26" t="n">
        <x:v>10</x:v>
      </x:c>
      <x:c r="H13" s="27" t="n">
        <x:v>7.25</x:v>
      </x:c>
      <x:c r="I13" s="27" t="n">
        <x:f>F13*H13</x:f>
        <x:v>72.5</x:v>
      </x:c>
      <x:c r="J13" s="25" t="str">
        <x:v>Sesame Free, Nut Free, Gluten Free, Dairy Free, Egg Free, Vegetarian, Vegan</x:v>
      </x:c>
      <x:c r="K13" s="25" t="str"/>
      <x:c r="L13" s="25" t="str"/>
    </x:row>
    <x:row r="14">
      <x:c r="A14" s="20" t="n">
        <x:v>46259.5</x:v>
      </x:c>
      <x:c r="B14" s="7" t="str">
        <x:v>JQH-D260825-TSA8</x:v>
      </x:c>
      <x:c r="C14" s="7" t="str">
        <x:v>Myriad Genetics NEXUS</x:v>
      </x:c>
      <x:c r="D14" s="25" t="str">
        <x:v>Hatyai Crispy Chicken Rice</x:v>
      </x:c>
      <x:c r="E14" s="25" t="str">
        <x:v>main</x:v>
      </x:c>
      <x:c r="F14" s="26" t="n">
        <x:v>1</x:v>
      </x:c>
      <x:c r="G14" s="26" t="n">
        <x:v>1</x:v>
      </x:c>
      <x:c r="H14" s="27" t="n">
        <x:v>9.5</x:v>
      </x:c>
      <x:c r="I14" s="27" t="n">
        <x:f>F14*H14</x:f>
        <x:v>9.5</x:v>
      </x:c>
      <x:c r="J14" s="25" t="str">
        <x:v>Nut Free, Sesame Free, Egg Free, Dairy Free</x:v>
      </x:c>
      <x:c r="K14" s="25" t="str"/>
      <x:c r="L14" s="25" t="str"/>
    </x:row>
    <x:row r="15">
      <x:c r="A15" s="20" t="n">
        <x:v>46259.5</x:v>
      </x:c>
      <x:c r="B15" s="7" t="str">
        <x:v>JQH-D260825-TSA8</x:v>
      </x:c>
      <x:c r="C15" s="7" t="str">
        <x:v>Myriad Genetics NEXUS</x:v>
      </x:c>
      <x:c r="D15" s="25" t="str">
        <x:v>Charcoal-Grilled BBQ Chicken Noodles</x:v>
      </x:c>
      <x:c r="E15" s="25" t="str">
        <x:v>main</x:v>
      </x:c>
      <x:c r="F15" s="26" t="n">
        <x:v>1</x:v>
      </x:c>
      <x:c r="G15" s="26" t="n">
        <x:v>1</x:v>
      </x:c>
      <x:c r="H15" s="27" t="n">
        <x:v>9.5</x:v>
      </x:c>
      <x:c r="I15" s="27" t="n">
        <x:f>F15*H15</x:f>
        <x:v>9.5</x:v>
      </x:c>
      <x:c r="J15" s="25" t="str">
        <x:v>Sesame Free, Nut Free, Egg Free</x:v>
      </x:c>
      <x:c r="K15" s="25" t="str"/>
      <x:c r="L15" s="25" t="str"/>
    </x:row>
    <x:row r="16">
      <x:c r="A16" s="20" t="n">
        <x:v>46259.5</x:v>
      </x:c>
      <x:c r="B16" s="7" t="str">
        <x:v>JQH-D260825-TSA8</x:v>
      </x:c>
      <x:c r="C16" s="7" t="str">
        <x:v>Myriad Genetics NEXUS</x:v>
      </x:c>
      <x:c r="D16" s="25" t="str">
        <x:v>Bangkok Pepper Tofu Noodles</x:v>
      </x:c>
      <x:c r="E16" s="25" t="str">
        <x:v>main</x:v>
      </x:c>
      <x:c r="F16" s="26" t="n">
        <x:v>1</x:v>
      </x:c>
      <x:c r="G16" s="26" t="n">
        <x:v>1</x:v>
      </x:c>
      <x:c r="H16" s="27" t="n">
        <x:v>8.25</x:v>
      </x:c>
      <x:c r="I16" s="27" t="n">
        <x:f>F16*H16</x:f>
        <x:v>8.25</x:v>
      </x:c>
      <x:c r="J16" s="25" t="str">
        <x:v>Egg Free, Dairy Free, Sesame Free, Nut Free, Gluten Free</x:v>
      </x:c>
      <x:c r="K16" s="25" t="str"/>
      <x:c r="L16" s="25" t="str"/>
    </x:row>
    <x:row r="17">
      <x:c r="A17" s="8" t="str">
        <x:v>TOTAL</x:v>
      </x:c>
      <x:c r="B17" s="8" t="str"/>
      <x:c r="C17" s="8" t="str"/>
      <x:c r="D17" s="8" t="str"/>
      <x:c r="E17" s="8" t="str"/>
      <x:c r="F17" s="22" t="n">
        <x:f>SUM(F2:F16)</x:f>
        <x:v>57</x:v>
      </x:c>
      <x:c r="G17" s="22" t="n">
        <x:f>SUM(G2:G16)</x:f>
        <x:v>57</x:v>
      </x:c>
      <x:c r="H17" s="24"/>
      <x:c r="I17" s="24" t="n">
        <x:f>SUM(I2:I16)</x:f>
        <x:v>518.25</x:v>
      </x:c>
      <x:c r="J17" s="8" t="str"/>
      <x:c r="K17" s="8" t="str"/>
      <x:c r="L17" s="8" t="str"/>
    </x:row>
  </x:sheetData>
  <x:pageMargins left="0.7" right="0.7" top="0.75" bottom="0.75" header="0.3" footer="0.3"/>
  <x:tableParts count="1">
    <x:tablePart xmlns:r="http://schemas.openxmlformats.org/officeDocument/2006/relationships" r:id="Ra190cd775a1040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12" hidden="0" customWidth="1"/>
    <x:col min="4" max="4" width="16" hidden="0" customWidth="1"/>
  </x:cols>
  <x:sheetData>
    <x:row r="1" ht="34" customHeight="1">
      <x:c r="A1" s="17" t="str">
        <x:v>Dish</x:v>
      </x:c>
      <x:c r="B1" s="18" t="str">
        <x:v>Order Lines</x:v>
      </x:c>
      <x:c r="C1" s="18" t="str">
        <x:v>Meals</x:v>
      </x:c>
      <x:c r="D1" s="19" t="str">
        <x:v>Food Cost $</x:v>
      </x:c>
    </x:row>
    <x:row r="2">
      <x:c r="A2" s="7" t="str">
        <x:v>Bangkok Pepper Tofu Noodles</x:v>
      </x:c>
      <x:c r="B2" s="21" t="n">
        <x:f>COUNTIF('Meal Breakdown'!$D$2:$D$16,A2)</x:f>
        <x:v>2</x:v>
      </x:c>
      <x:c r="C2" s="21" t="n">
        <x:f>SUMIF('Meal Breakdown'!$D$2:$D$16,A2,'Meal Breakdown'!$F$2:$F$16)</x:f>
        <x:v>2</x:v>
      </x:c>
      <x:c r="D2" s="23" t="n">
        <x:f>SUMIF('Meal Breakdown'!$D$2:$D$16,A2,'Meal Breakdown'!$I$2:$I$16)</x:f>
        <x:v>16.5</x:v>
      </x:c>
    </x:row>
    <x:row r="3">
      <x:c r="A3" s="7" t="str">
        <x:v>Bangkok Pepper Tofu with Garlic Rice</x:v>
      </x:c>
      <x:c r="B3" s="21" t="n">
        <x:f>COUNTIF('Meal Breakdown'!$D$2:$D$16,A3)</x:f>
        <x:v>2</x:v>
      </x:c>
      <x:c r="C3" s="21" t="n">
        <x:f>SUMIF('Meal Breakdown'!$D$2:$D$16,A3,'Meal Breakdown'!$F$2:$F$16)</x:f>
        <x:v>11</x:v>
      </x:c>
      <x:c r="D3" s="23" t="n">
        <x:f>SUMIF('Meal Breakdown'!$D$2:$D$16,A3,'Meal Breakdown'!$I$2:$I$16)</x:f>
        <x:v>79.75</x:v>
      </x:c>
    </x:row>
    <x:row r="4">
      <x:c r="A4" s="7" t="str">
        <x:v>Charcoal-Grilled BBQ Chicken Noodles</x:v>
      </x:c>
      <x:c r="B4" s="21" t="n">
        <x:f>COUNTIF('Meal Breakdown'!$D$2:$D$16,A4)</x:f>
        <x:v>1</x:v>
      </x:c>
      <x:c r="C4" s="21" t="n">
        <x:f>SUMIF('Meal Breakdown'!$D$2:$D$16,A4,'Meal Breakdown'!$F$2:$F$16)</x:f>
        <x:v>1</x:v>
      </x:c>
      <x:c r="D4" s="23" t="n">
        <x:f>SUMIF('Meal Breakdown'!$D$2:$D$16,A4,'Meal Breakdown'!$I$2:$I$16)</x:f>
        <x:v>9.5</x:v>
      </x:c>
    </x:row>
    <x:row r="5">
      <x:c r="A5" s="7" t="str">
        <x:v>Charcoal-Grilled BBQ Chicken Rice</x:v>
      </x:c>
      <x:c r="B5" s="21" t="n">
        <x:f>COUNTIF('Meal Breakdown'!$D$2:$D$16,A5)</x:f>
        <x:v>3</x:v>
      </x:c>
      <x:c r="C5" s="21" t="n">
        <x:f>SUMIF('Meal Breakdown'!$D$2:$D$16,A5,'Meal Breakdown'!$F$2:$F$16)</x:f>
        <x:v>12</x:v>
      </x:c>
      <x:c r="D5" s="23" t="n">
        <x:f>SUMIF('Meal Breakdown'!$D$2:$D$16,A5,'Meal Breakdown'!$I$2:$I$16)</x:f>
        <x:v>114</x:v>
      </x:c>
    </x:row>
    <x:row r="6">
      <x:c r="A6" s="7" t="str">
        <x:v>Green Curry Charcoal-Grilled BBQ Chicken Rice</x:v>
      </x:c>
      <x:c r="B6" s="21" t="n">
        <x:f>COUNTIF('Meal Breakdown'!$D$2:$D$16,A6)</x:f>
        <x:v>2</x:v>
      </x:c>
      <x:c r="C6" s="21" t="n">
        <x:f>SUMIF('Meal Breakdown'!$D$2:$D$16,A6,'Meal Breakdown'!$F$2:$F$16)</x:f>
        <x:v>11</x:v>
      </x:c>
      <x:c r="D6" s="23" t="n">
        <x:f>SUMIF('Meal Breakdown'!$D$2:$D$16,A6,'Meal Breakdown'!$I$2:$I$16)</x:f>
        <x:v>107.25</x:v>
      </x:c>
    </x:row>
    <x:row r="7">
      <x:c r="A7" s="7" t="str">
        <x:v>Green Curry Hatyai Crispy Chicken Rice</x:v>
      </x:c>
      <x:c r="B7" s="21" t="n">
        <x:f>COUNTIF('Meal Breakdown'!$D$2:$D$16,A7)</x:f>
        <x:v>1</x:v>
      </x:c>
      <x:c r="C7" s="21" t="n">
        <x:f>SUMIF('Meal Breakdown'!$D$2:$D$16,A7,'Meal Breakdown'!$F$2:$F$16)</x:f>
        <x:v>15</x:v>
      </x:c>
      <x:c r="D7" s="23" t="n">
        <x:f>SUMIF('Meal Breakdown'!$D$2:$D$16,A7,'Meal Breakdown'!$I$2:$I$16)</x:f>
        <x:v>146.25</x:v>
      </x:c>
    </x:row>
    <x:row r="8">
      <x:c r="A8" s="7" t="str">
        <x:v>Hatyai Crispy Chicken Noodles</x:v>
      </x:c>
      <x:c r="B8" s="21" t="n">
        <x:f>COUNTIF('Meal Breakdown'!$D$2:$D$16,A8)</x:f>
        <x:v>1</x:v>
      </x:c>
      <x:c r="C8" s="21" t="n">
        <x:f>SUMIF('Meal Breakdown'!$D$2:$D$16,A8,'Meal Breakdown'!$F$2:$F$16)</x:f>
        <x:v>2</x:v>
      </x:c>
      <x:c r="D8" s="23" t="n">
        <x:f>SUMIF('Meal Breakdown'!$D$2:$D$16,A8,'Meal Breakdown'!$I$2:$I$16)</x:f>
        <x:v>19</x:v>
      </x:c>
    </x:row>
    <x:row r="9">
      <x:c r="A9" s="7" t="str">
        <x:v>Hatyai Crispy Chicken Rice</x:v>
      </x:c>
      <x:c r="B9" s="21" t="n">
        <x:f>COUNTIF('Meal Breakdown'!$D$2:$D$16,A9)</x:f>
        <x:v>1</x:v>
      </x:c>
      <x:c r="C9" s="21" t="n">
        <x:f>SUMIF('Meal Breakdown'!$D$2:$D$16,A9,'Meal Breakdown'!$F$2:$F$16)</x:f>
        <x:v>1</x:v>
      </x:c>
      <x:c r="D9" s="23" t="n">
        <x:f>SUMIF('Meal Breakdown'!$D$2:$D$16,A9,'Meal Breakdown'!$I$2:$I$16)</x:f>
        <x:v>9.5</x:v>
      </x:c>
    </x:row>
    <x:row r="10">
      <x:c r="A10" s="7" t="str">
        <x:v>Shredded Chicken Noodles</x:v>
      </x:c>
      <x:c r="B10" s="21" t="n">
        <x:f>COUNTIF('Meal Breakdown'!$D$2:$D$16,A10)</x:f>
        <x:v>2</x:v>
      </x:c>
      <x:c r="C10" s="21" t="n">
        <x:f>SUMIF('Meal Breakdown'!$D$2:$D$16,A10,'Meal Breakdown'!$F$2:$F$16)</x:f>
        <x:v>2</x:v>
      </x:c>
      <x:c r="D10" s="23" t="n">
        <x:f>SUMIF('Meal Breakdown'!$D$2:$D$16,A10,'Meal Breakdown'!$I$2:$I$16)</x:f>
        <x:v>16.5</x:v>
      </x:c>
    </x:row>
    <x:row r="11">
      <x:c r="A11" s="8" t="str">
        <x:v>TOTAL</x:v>
      </x:c>
      <x:c r="B11" s="22" t="n">
        <x:f>SUM(B2:B10)</x:f>
        <x:v>15</x:v>
      </x:c>
      <x:c r="C11" s="22" t="n">
        <x:f>SUM(C2:C10)</x:f>
        <x:v>57</x:v>
      </x:c>
      <x:c r="D11" s="24" t="n">
        <x:f>SUM(D2:D10)</x:f>
        <x:v>518.25</x:v>
      </x:c>
    </x:row>
  </x:sheetData>
  <x:pageMargins left="0.7" right="0.7" top="0.75" bottom="0.75" header="0.3" footer="0.3"/>
  <x:tableParts count="1">
    <x:tablePart xmlns:r="http://schemas.openxmlformats.org/officeDocument/2006/relationships" r:id="R6dea8004aa3f467d"/>
  </x:tableParts>
</x:worksheet>
</file>